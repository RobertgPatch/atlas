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patch\Desktop\"/>
    </mc:Choice>
  </mc:AlternateContent>
  <xr:revisionPtr revIDLastSave="0" documentId="13_ncr:1_{E5BEC67C-71D4-4700-96A2-4D9438275319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AC Bell Investors, LLC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3" i="2" l="1"/>
  <c r="B155" i="2"/>
  <c r="F37" i="2"/>
  <c r="E156" i="2"/>
  <c r="C160" i="2"/>
  <c r="G174" i="2" l="1"/>
  <c r="H174" i="2"/>
  <c r="I174" i="2"/>
  <c r="J174" i="2"/>
  <c r="K174" i="2"/>
  <c r="B173" i="2"/>
  <c r="C173" i="2"/>
  <c r="D173" i="2"/>
  <c r="F173" i="2"/>
  <c r="G173" i="2"/>
  <c r="H173" i="2"/>
  <c r="I173" i="2"/>
  <c r="J173" i="2"/>
  <c r="K173" i="2"/>
  <c r="B170" i="2"/>
  <c r="B174" i="2" s="1"/>
  <c r="B168" i="2"/>
  <c r="C168" i="2"/>
  <c r="D168" i="2"/>
  <c r="E168" i="2"/>
  <c r="F168" i="2"/>
  <c r="G168" i="2"/>
  <c r="H168" i="2"/>
  <c r="I168" i="2"/>
  <c r="J168" i="2"/>
  <c r="K168" i="2"/>
  <c r="B161" i="2"/>
  <c r="E161" i="2"/>
  <c r="E170" i="2" s="1"/>
  <c r="E174" i="2" s="1"/>
  <c r="G161" i="2"/>
  <c r="G170" i="2" s="1"/>
  <c r="H161" i="2"/>
  <c r="H170" i="2" s="1"/>
  <c r="I161" i="2"/>
  <c r="I170" i="2" s="1"/>
  <c r="J161" i="2"/>
  <c r="J170" i="2" s="1"/>
  <c r="K161" i="2"/>
  <c r="K170" i="2" s="1"/>
  <c r="B160" i="2"/>
  <c r="D160" i="2"/>
  <c r="B159" i="2"/>
  <c r="C159" i="2"/>
  <c r="C161" i="2" s="1"/>
  <c r="C170" i="2" s="1"/>
  <c r="C174" i="2" s="1"/>
  <c r="D159" i="2"/>
  <c r="D161" i="2" s="1"/>
  <c r="D170" i="2" s="1"/>
  <c r="D174" i="2" s="1"/>
  <c r="E159" i="2"/>
  <c r="F159" i="2"/>
  <c r="G159" i="2"/>
  <c r="H159" i="2"/>
  <c r="I159" i="2"/>
  <c r="J159" i="2"/>
  <c r="K159" i="2"/>
  <c r="B156" i="2"/>
  <c r="C156" i="2"/>
  <c r="D156" i="2"/>
  <c r="F156" i="2"/>
  <c r="G156" i="2"/>
  <c r="H156" i="2"/>
  <c r="I156" i="2"/>
  <c r="J156" i="2"/>
  <c r="K156" i="2"/>
  <c r="C155" i="2"/>
  <c r="D155" i="2"/>
  <c r="E155" i="2"/>
  <c r="G155" i="2"/>
  <c r="H155" i="2"/>
  <c r="I155" i="2"/>
  <c r="J155" i="2"/>
  <c r="K155" i="2"/>
  <c r="B154" i="2"/>
  <c r="C154" i="2"/>
  <c r="D154" i="2"/>
  <c r="E154" i="2"/>
  <c r="F154" i="2"/>
  <c r="G154" i="2"/>
  <c r="H154" i="2"/>
  <c r="I154" i="2"/>
  <c r="J154" i="2"/>
  <c r="K154" i="2"/>
  <c r="B153" i="2"/>
  <c r="C153" i="2"/>
  <c r="D153" i="2"/>
  <c r="E153" i="2"/>
  <c r="F153" i="2"/>
  <c r="G153" i="2"/>
  <c r="H153" i="2"/>
  <c r="I153" i="2"/>
  <c r="J153" i="2"/>
  <c r="K153" i="2"/>
  <c r="B150" i="2"/>
  <c r="C150" i="2"/>
  <c r="D150" i="2"/>
  <c r="B149" i="2"/>
  <c r="C149" i="2"/>
  <c r="D149" i="2"/>
  <c r="E149" i="2"/>
  <c r="F149" i="2"/>
  <c r="G149" i="2"/>
  <c r="H149" i="2"/>
  <c r="I149" i="2"/>
  <c r="J149" i="2"/>
  <c r="K149" i="2"/>
  <c r="B148" i="2"/>
  <c r="C148" i="2"/>
  <c r="D148" i="2"/>
  <c r="G148" i="2"/>
  <c r="H148" i="2"/>
  <c r="I148" i="2"/>
  <c r="J148" i="2"/>
  <c r="K148" i="2"/>
  <c r="B147" i="2"/>
  <c r="C147" i="2"/>
  <c r="D147" i="2"/>
  <c r="E147" i="2"/>
  <c r="F147" i="2"/>
  <c r="G147" i="2"/>
  <c r="H147" i="2"/>
  <c r="I147" i="2"/>
  <c r="J147" i="2"/>
  <c r="K147" i="2"/>
  <c r="B146" i="2"/>
  <c r="C146" i="2"/>
  <c r="D146" i="2"/>
  <c r="E146" i="2"/>
  <c r="B135" i="2"/>
  <c r="C135" i="2"/>
  <c r="D135" i="2"/>
  <c r="E135" i="2"/>
  <c r="F135" i="2"/>
  <c r="G135" i="2"/>
  <c r="H135" i="2"/>
  <c r="I135" i="2"/>
  <c r="J135" i="2"/>
  <c r="K135" i="2"/>
  <c r="C103" i="2"/>
  <c r="B126" i="2"/>
  <c r="B121" i="2" l="1"/>
  <c r="G126" i="2"/>
  <c r="H126" i="2"/>
  <c r="I126" i="2"/>
  <c r="J126" i="2"/>
  <c r="K126" i="2"/>
  <c r="G125" i="2"/>
  <c r="H125" i="2"/>
  <c r="I125" i="2"/>
  <c r="J125" i="2"/>
  <c r="K125" i="2"/>
  <c r="G124" i="2"/>
  <c r="H124" i="2"/>
  <c r="I124" i="2"/>
  <c r="J124" i="2"/>
  <c r="K124" i="2"/>
  <c r="B123" i="2"/>
  <c r="C123" i="2"/>
  <c r="G123" i="2"/>
  <c r="H123" i="2"/>
  <c r="I123" i="2"/>
  <c r="J123" i="2"/>
  <c r="K123" i="2"/>
  <c r="B122" i="2"/>
  <c r="C122" i="2"/>
  <c r="D122" i="2"/>
  <c r="E122" i="2"/>
  <c r="F122" i="2"/>
  <c r="G122" i="2"/>
  <c r="H122" i="2"/>
  <c r="I122" i="2"/>
  <c r="J122" i="2"/>
  <c r="K122" i="2"/>
  <c r="E121" i="2"/>
  <c r="G121" i="2"/>
  <c r="H121" i="2"/>
  <c r="I121" i="2"/>
  <c r="J121" i="2"/>
  <c r="K121" i="2"/>
  <c r="C120" i="2"/>
  <c r="D120" i="2" s="1"/>
  <c r="E120" i="2" s="1"/>
  <c r="F120" i="2" s="1"/>
  <c r="G120" i="2" s="1"/>
  <c r="H120" i="2" s="1"/>
  <c r="I120" i="2" s="1"/>
  <c r="J120" i="2" s="1"/>
  <c r="K120" i="2" s="1"/>
  <c r="B120" i="2"/>
  <c r="G117" i="2"/>
  <c r="H117" i="2"/>
  <c r="I117" i="2"/>
  <c r="J117" i="2"/>
  <c r="K117" i="2"/>
  <c r="G114" i="2"/>
  <c r="H114" i="2"/>
  <c r="I114" i="2"/>
  <c r="J114" i="2"/>
  <c r="K114" i="2"/>
  <c r="G113" i="2"/>
  <c r="H113" i="2"/>
  <c r="I113" i="2"/>
  <c r="J113" i="2"/>
  <c r="K113" i="2"/>
  <c r="B111" i="2"/>
  <c r="C111" i="2"/>
  <c r="D111" i="2"/>
  <c r="E111" i="2"/>
  <c r="F111" i="2"/>
  <c r="G111" i="2"/>
  <c r="H111" i="2"/>
  <c r="I111" i="2"/>
  <c r="J111" i="2"/>
  <c r="K111" i="2"/>
  <c r="B110" i="2"/>
  <c r="C110" i="2"/>
  <c r="D110" i="2"/>
  <c r="D113" i="2" s="1"/>
  <c r="D114" i="2" s="1"/>
  <c r="D124" i="2" s="1"/>
  <c r="E110" i="2"/>
  <c r="F110" i="2"/>
  <c r="G110" i="2"/>
  <c r="H110" i="2"/>
  <c r="I110" i="2"/>
  <c r="J110" i="2"/>
  <c r="K110" i="2"/>
  <c r="B109" i="2"/>
  <c r="C109" i="2"/>
  <c r="D109" i="2"/>
  <c r="E109" i="2"/>
  <c r="F109" i="2"/>
  <c r="G109" i="2"/>
  <c r="H109" i="2"/>
  <c r="I109" i="2"/>
  <c r="J109" i="2"/>
  <c r="K109" i="2"/>
  <c r="B108" i="2"/>
  <c r="C108" i="2"/>
  <c r="D108" i="2"/>
  <c r="E108" i="2"/>
  <c r="F108" i="2"/>
  <c r="G108" i="2"/>
  <c r="H108" i="2"/>
  <c r="I108" i="2"/>
  <c r="J108" i="2"/>
  <c r="K108" i="2"/>
  <c r="B107" i="2"/>
  <c r="C107" i="2"/>
  <c r="D107" i="2"/>
  <c r="E107" i="2"/>
  <c r="F107" i="2"/>
  <c r="G107" i="2"/>
  <c r="H107" i="2"/>
  <c r="I107" i="2"/>
  <c r="J107" i="2"/>
  <c r="K107" i="2"/>
  <c r="B106" i="2"/>
  <c r="C106" i="2"/>
  <c r="D106" i="2"/>
  <c r="E106" i="2"/>
  <c r="F106" i="2"/>
  <c r="G106" i="2"/>
  <c r="H106" i="2"/>
  <c r="I106" i="2"/>
  <c r="J106" i="2"/>
  <c r="K106" i="2"/>
  <c r="B105" i="2"/>
  <c r="C105" i="2"/>
  <c r="D105" i="2"/>
  <c r="E105" i="2"/>
  <c r="F105" i="2"/>
  <c r="G105" i="2"/>
  <c r="H105" i="2"/>
  <c r="I105" i="2"/>
  <c r="J105" i="2"/>
  <c r="K105" i="2"/>
  <c r="B104" i="2"/>
  <c r="C104" i="2"/>
  <c r="D104" i="2"/>
  <c r="E104" i="2"/>
  <c r="F104" i="2"/>
  <c r="G104" i="2"/>
  <c r="H104" i="2"/>
  <c r="I104" i="2"/>
  <c r="J104" i="2"/>
  <c r="K104" i="2"/>
  <c r="B103" i="2"/>
  <c r="B113" i="2" s="1"/>
  <c r="B114" i="2" s="1"/>
  <c r="D103" i="2"/>
  <c r="E103" i="2"/>
  <c r="F103" i="2"/>
  <c r="G103" i="2"/>
  <c r="H103" i="2"/>
  <c r="I103" i="2"/>
  <c r="J103" i="2"/>
  <c r="K103" i="2"/>
  <c r="B100" i="2"/>
  <c r="C100" i="2"/>
  <c r="D100" i="2"/>
  <c r="D123" i="2" s="1"/>
  <c r="G100" i="2"/>
  <c r="H100" i="2"/>
  <c r="I100" i="2"/>
  <c r="J100" i="2"/>
  <c r="K100" i="2"/>
  <c r="B99" i="2"/>
  <c r="C99" i="2"/>
  <c r="D99" i="2"/>
  <c r="E99" i="2"/>
  <c r="E100" i="2" s="1"/>
  <c r="E123" i="2" s="1"/>
  <c r="G99" i="2"/>
  <c r="H99" i="2"/>
  <c r="I99" i="2"/>
  <c r="J99" i="2"/>
  <c r="K99" i="2"/>
  <c r="B98" i="2"/>
  <c r="C98" i="2"/>
  <c r="D98" i="2"/>
  <c r="E98" i="2"/>
  <c r="F98" i="2"/>
  <c r="F99" i="2" s="1"/>
  <c r="F100" i="2" s="1"/>
  <c r="F123" i="2" s="1"/>
  <c r="G98" i="2"/>
  <c r="H98" i="2"/>
  <c r="I98" i="2"/>
  <c r="J98" i="2"/>
  <c r="K98" i="2"/>
  <c r="B97" i="2"/>
  <c r="C97" i="2"/>
  <c r="D97" i="2"/>
  <c r="E97" i="2"/>
  <c r="F97" i="2"/>
  <c r="G97" i="2"/>
  <c r="H97" i="2"/>
  <c r="I97" i="2"/>
  <c r="J97" i="2"/>
  <c r="K97" i="2"/>
  <c r="B96" i="2"/>
  <c r="C96" i="2"/>
  <c r="D96" i="2"/>
  <c r="E96" i="2"/>
  <c r="F96" i="2"/>
  <c r="G96" i="2"/>
  <c r="H96" i="2"/>
  <c r="I96" i="2"/>
  <c r="J96" i="2"/>
  <c r="K96" i="2"/>
  <c r="B92" i="2"/>
  <c r="C92" i="2"/>
  <c r="D92" i="2"/>
  <c r="E92" i="2"/>
  <c r="F92" i="2"/>
  <c r="G92" i="2"/>
  <c r="H92" i="2"/>
  <c r="I92" i="2"/>
  <c r="J92" i="2"/>
  <c r="K92" i="2"/>
  <c r="B91" i="2"/>
  <c r="C91" i="2"/>
  <c r="D91" i="2"/>
  <c r="E91" i="2"/>
  <c r="F91" i="2"/>
  <c r="G91" i="2"/>
  <c r="H91" i="2"/>
  <c r="I91" i="2"/>
  <c r="J91" i="2"/>
  <c r="K91" i="2"/>
  <c r="B87" i="2"/>
  <c r="E87" i="2"/>
  <c r="F87" i="2"/>
  <c r="F121" i="2" s="1"/>
  <c r="G87" i="2"/>
  <c r="H87" i="2"/>
  <c r="I87" i="2"/>
  <c r="J87" i="2"/>
  <c r="K87" i="2"/>
  <c r="B86" i="2"/>
  <c r="C86" i="2"/>
  <c r="C87" i="2" s="1"/>
  <c r="C121" i="2" s="1"/>
  <c r="D86" i="2"/>
  <c r="D87" i="2" s="1"/>
  <c r="D121" i="2" s="1"/>
  <c r="E86" i="2"/>
  <c r="F86" i="2"/>
  <c r="G86" i="2"/>
  <c r="H86" i="2"/>
  <c r="I86" i="2"/>
  <c r="J86" i="2"/>
  <c r="K86" i="2"/>
  <c r="C75" i="2"/>
  <c r="D75" i="2" s="1"/>
  <c r="E75" i="2" s="1"/>
  <c r="F75" i="2" s="1"/>
  <c r="G75" i="2" s="1"/>
  <c r="H75" i="2" s="1"/>
  <c r="I75" i="2" s="1"/>
  <c r="J75" i="2" s="1"/>
  <c r="K75" i="2" s="1"/>
  <c r="B75" i="2"/>
  <c r="B7" i="2"/>
  <c r="C7" i="2" s="1"/>
  <c r="D7" i="2" s="1"/>
  <c r="E7" i="2" s="1"/>
  <c r="F7" i="2" s="1"/>
  <c r="G7" i="2" s="1"/>
  <c r="H7" i="2" s="1"/>
  <c r="I7" i="2" s="1"/>
  <c r="J7" i="2" s="1"/>
  <c r="K7" i="2" s="1"/>
  <c r="K64" i="2"/>
  <c r="J64" i="2"/>
  <c r="I64" i="2"/>
  <c r="H64" i="2"/>
  <c r="G64" i="2"/>
  <c r="F64" i="2"/>
  <c r="E64" i="2"/>
  <c r="D64" i="2"/>
  <c r="C64" i="2"/>
  <c r="K62" i="2"/>
  <c r="J62" i="2"/>
  <c r="I62" i="2"/>
  <c r="H62" i="2"/>
  <c r="G62" i="2"/>
  <c r="F62" i="2"/>
  <c r="E62" i="2"/>
  <c r="D62" i="2"/>
  <c r="C62" i="2"/>
  <c r="K60" i="2"/>
  <c r="K66" i="2" s="1"/>
  <c r="K40" i="2" s="1"/>
  <c r="K41" i="2" s="1"/>
  <c r="J60" i="2"/>
  <c r="J66" i="2" s="1"/>
  <c r="J40" i="2" s="1"/>
  <c r="J41" i="2" s="1"/>
  <c r="I60" i="2"/>
  <c r="I66" i="2" s="1"/>
  <c r="I40" i="2" s="1"/>
  <c r="I41" i="2" s="1"/>
  <c r="H60" i="2"/>
  <c r="G60" i="2"/>
  <c r="G66" i="2" s="1"/>
  <c r="F60" i="2"/>
  <c r="E60" i="2"/>
  <c r="E66" i="2" s="1"/>
  <c r="D60" i="2"/>
  <c r="D66" i="2" s="1"/>
  <c r="D26" i="2" s="1"/>
  <c r="D27" i="2" s="1"/>
  <c r="C60" i="2"/>
  <c r="C66" i="2" s="1"/>
  <c r="F66" i="2"/>
  <c r="F26" i="2" s="1"/>
  <c r="F27" i="2" s="1"/>
  <c r="B66" i="2"/>
  <c r="B40" i="2" s="1"/>
  <c r="B41" i="2" s="1"/>
  <c r="K55" i="2"/>
  <c r="J55" i="2"/>
  <c r="I55" i="2"/>
  <c r="H55" i="2"/>
  <c r="G55" i="2"/>
  <c r="F55" i="2"/>
  <c r="E55" i="2"/>
  <c r="D55" i="2"/>
  <c r="C55" i="2"/>
  <c r="B55" i="2"/>
  <c r="K47" i="2"/>
  <c r="J47" i="2"/>
  <c r="I47" i="2"/>
  <c r="H47" i="2"/>
  <c r="G47" i="2"/>
  <c r="F47" i="2"/>
  <c r="E47" i="2"/>
  <c r="D47" i="2"/>
  <c r="C47" i="2"/>
  <c r="B47" i="2"/>
  <c r="F113" i="2" l="1"/>
  <c r="F114" i="2" s="1"/>
  <c r="F124" i="2" s="1"/>
  <c r="F117" i="2"/>
  <c r="F125" i="2" s="1"/>
  <c r="F126" i="2" s="1"/>
  <c r="E113" i="2"/>
  <c r="E114" i="2" s="1"/>
  <c r="E117" i="2" s="1"/>
  <c r="E125" i="2" s="1"/>
  <c r="D117" i="2"/>
  <c r="D125" i="2" s="1"/>
  <c r="D126" i="2" s="1"/>
  <c r="C113" i="2"/>
  <c r="C114" i="2" s="1"/>
  <c r="C124" i="2" s="1"/>
  <c r="B124" i="2"/>
  <c r="B117" i="2"/>
  <c r="B125" i="2" s="1"/>
  <c r="H66" i="2"/>
  <c r="B26" i="2"/>
  <c r="B27" i="2" s="1"/>
  <c r="B48" i="2" s="1"/>
  <c r="B49" i="2" s="1"/>
  <c r="B50" i="2" s="1"/>
  <c r="B70" i="2" s="1"/>
  <c r="B56" i="2"/>
  <c r="B57" i="2" s="1"/>
  <c r="B71" i="2" s="1"/>
  <c r="K26" i="2"/>
  <c r="K27" i="2" s="1"/>
  <c r="I26" i="2"/>
  <c r="I27" i="2" s="1"/>
  <c r="H26" i="2"/>
  <c r="H27" i="2" s="1"/>
  <c r="H40" i="2"/>
  <c r="H41" i="2" s="1"/>
  <c r="J26" i="2"/>
  <c r="J27" i="2" s="1"/>
  <c r="G40" i="2"/>
  <c r="G41" i="2" s="1"/>
  <c r="G26" i="2"/>
  <c r="G27" i="2" s="1"/>
  <c r="F40" i="2"/>
  <c r="F41" i="2" s="1"/>
  <c r="F148" i="2" s="1"/>
  <c r="F155" i="2" s="1"/>
  <c r="E26" i="2"/>
  <c r="E27" i="2" s="1"/>
  <c r="E40" i="2"/>
  <c r="E41" i="2" s="1"/>
  <c r="D40" i="2"/>
  <c r="D41" i="2" s="1"/>
  <c r="C26" i="2"/>
  <c r="C27" i="2" s="1"/>
  <c r="C40" i="2"/>
  <c r="C41" i="2" s="1"/>
  <c r="E124" i="2" l="1"/>
  <c r="E148" i="2"/>
  <c r="E126" i="2"/>
  <c r="C117" i="2"/>
  <c r="C125" i="2" s="1"/>
  <c r="C126" i="2"/>
  <c r="B52" i="2"/>
  <c r="C51" i="2" s="1"/>
  <c r="B43" i="2"/>
  <c r="B69" i="2" s="1"/>
  <c r="B44" i="2"/>
  <c r="C10" i="2" l="1"/>
  <c r="B78" i="2"/>
  <c r="B79" i="2" s="1"/>
  <c r="C56" i="2"/>
  <c r="C57" i="2" s="1"/>
  <c r="C71" i="2" s="1"/>
  <c r="C43" i="2"/>
  <c r="C48" i="2"/>
  <c r="C49" i="2" s="1"/>
  <c r="C50" i="2" s="1"/>
  <c r="C70" i="2" l="1"/>
  <c r="C52" i="2"/>
  <c r="C69" i="2"/>
  <c r="C44" i="2"/>
  <c r="C78" i="2" s="1"/>
  <c r="C79" i="2" s="1"/>
  <c r="D51" i="2" l="1"/>
  <c r="D10" i="2"/>
  <c r="D43" i="2" l="1"/>
  <c r="D48" i="2"/>
  <c r="D49" i="2" s="1"/>
  <c r="D50" i="2" s="1"/>
  <c r="D56" i="2"/>
  <c r="D57" i="2" s="1"/>
  <c r="D71" i="2" s="1"/>
  <c r="D70" i="2" l="1"/>
  <c r="D52" i="2"/>
  <c r="E51" i="2" s="1"/>
  <c r="D69" i="2"/>
  <c r="D44" i="2"/>
  <c r="D78" i="2" s="1"/>
  <c r="D79" i="2" s="1"/>
  <c r="E10" i="2" l="1"/>
  <c r="E56" i="2" l="1"/>
  <c r="E57" i="2" s="1"/>
  <c r="E71" i="2" s="1"/>
  <c r="E43" i="2"/>
  <c r="E48" i="2"/>
  <c r="E49" i="2" s="1"/>
  <c r="E50" i="2" s="1"/>
  <c r="E70" i="2" l="1"/>
  <c r="E52" i="2"/>
  <c r="F51" i="2" s="1"/>
  <c r="E69" i="2"/>
  <c r="E44" i="2"/>
  <c r="E78" i="2" l="1"/>
  <c r="E79" i="2" s="1"/>
  <c r="E150" i="2"/>
  <c r="E160" i="2"/>
  <c r="F10" i="2"/>
  <c r="F146" i="2" s="1"/>
  <c r="F48" i="2" l="1"/>
  <c r="F49" i="2" s="1"/>
  <c r="F50" i="2" s="1"/>
  <c r="F43" i="2"/>
  <c r="F56" i="2"/>
  <c r="F57" i="2" s="1"/>
  <c r="F71" i="2" s="1"/>
  <c r="F69" i="2" l="1"/>
  <c r="F44" i="2"/>
  <c r="F70" i="2"/>
  <c r="F52" i="2"/>
  <c r="G51" i="2" s="1"/>
  <c r="F78" i="2" l="1"/>
  <c r="F79" i="2" s="1"/>
  <c r="F160" i="2"/>
  <c r="F161" i="2" s="1"/>
  <c r="F170" i="2" s="1"/>
  <c r="F174" i="2" s="1"/>
  <c r="F150" i="2"/>
  <c r="G10" i="2"/>
  <c r="G146" i="2" s="1"/>
  <c r="G43" i="2" l="1"/>
  <c r="G56" i="2"/>
  <c r="G57" i="2" s="1"/>
  <c r="G71" i="2" s="1"/>
  <c r="G48" i="2"/>
  <c r="G49" i="2" s="1"/>
  <c r="G50" i="2" s="1"/>
  <c r="G52" i="2" l="1"/>
  <c r="H51" i="2" s="1"/>
  <c r="G70" i="2"/>
  <c r="G69" i="2"/>
  <c r="G44" i="2"/>
  <c r="G78" i="2" l="1"/>
  <c r="G79" i="2" s="1"/>
  <c r="G150" i="2"/>
  <c r="G160" i="2"/>
  <c r="H10" i="2"/>
  <c r="H146" i="2" s="1"/>
  <c r="H43" i="2" l="1"/>
  <c r="H48" i="2"/>
  <c r="H49" i="2" s="1"/>
  <c r="H50" i="2" s="1"/>
  <c r="H56" i="2"/>
  <c r="H57" i="2" s="1"/>
  <c r="H71" i="2" s="1"/>
  <c r="H70" i="2" l="1"/>
  <c r="H52" i="2"/>
  <c r="I51" i="2" s="1"/>
  <c r="H44" i="2"/>
  <c r="H69" i="2"/>
  <c r="H78" i="2" l="1"/>
  <c r="H79" i="2" s="1"/>
  <c r="H150" i="2"/>
  <c r="H160" i="2"/>
  <c r="I10" i="2"/>
  <c r="I146" i="2" s="1"/>
  <c r="I43" i="2" l="1"/>
  <c r="I56" i="2"/>
  <c r="I57" i="2" s="1"/>
  <c r="I71" i="2" s="1"/>
  <c r="I48" i="2"/>
  <c r="I49" i="2" s="1"/>
  <c r="I50" i="2" s="1"/>
  <c r="I70" i="2" l="1"/>
  <c r="I52" i="2"/>
  <c r="J51" i="2" s="1"/>
  <c r="I69" i="2"/>
  <c r="I44" i="2"/>
  <c r="I78" i="2" l="1"/>
  <c r="I79" i="2" s="1"/>
  <c r="I160" i="2"/>
  <c r="I150" i="2"/>
  <c r="J10" i="2"/>
  <c r="J146" i="2" s="1"/>
  <c r="J56" i="2" l="1"/>
  <c r="J57" i="2" s="1"/>
  <c r="J71" i="2" s="1"/>
  <c r="J48" i="2"/>
  <c r="J49" i="2" s="1"/>
  <c r="J50" i="2" s="1"/>
  <c r="J43" i="2"/>
  <c r="J44" i="2" l="1"/>
  <c r="J69" i="2"/>
  <c r="J52" i="2"/>
  <c r="K51" i="2" s="1"/>
  <c r="J70" i="2"/>
  <c r="J78" i="2" l="1"/>
  <c r="J79" i="2" s="1"/>
  <c r="J160" i="2"/>
  <c r="J150" i="2"/>
  <c r="K10" i="2"/>
  <c r="K146" i="2" s="1"/>
  <c r="K43" i="2" l="1"/>
  <c r="K48" i="2"/>
  <c r="K49" i="2" s="1"/>
  <c r="K50" i="2" s="1"/>
  <c r="K56" i="2"/>
  <c r="K57" i="2" s="1"/>
  <c r="K71" i="2" s="1"/>
  <c r="K52" i="2" l="1"/>
  <c r="K70" i="2"/>
  <c r="K44" i="2"/>
  <c r="K69" i="2"/>
  <c r="K78" i="2" l="1"/>
  <c r="K79" i="2" s="1"/>
  <c r="K160" i="2"/>
  <c r="K150" i="2"/>
</calcChain>
</file>

<file path=xl/sharedStrings.xml><?xml version="1.0" encoding="utf-8"?>
<sst xmlns="http://schemas.openxmlformats.org/spreadsheetml/2006/main" count="151" uniqueCount="148">
  <si>
    <t>OUTSIDE TAX BASIS CALCULATION</t>
  </si>
  <si>
    <t>Partnership Name:</t>
  </si>
  <si>
    <t>Partner Name:</t>
  </si>
  <si>
    <t>Partner TIN:</t>
  </si>
  <si>
    <t>TAX YEAR →</t>
  </si>
  <si>
    <t>TAX BASIS CALCULATION</t>
  </si>
  <si>
    <t>Beginning Tax Basis</t>
  </si>
  <si>
    <t>INCREASES:</t>
  </si>
  <si>
    <t xml:space="preserve">  Capital Contributions</t>
  </si>
  <si>
    <t xml:space="preserve">  Line 1 - Ordinary Income</t>
  </si>
  <si>
    <t xml:space="preserve">  Line 2 - Net Rental RE Income</t>
  </si>
  <si>
    <t xml:space="preserve">  Line 3 - Other Rental Income</t>
  </si>
  <si>
    <t xml:space="preserve">  Line 4c - Guaranteed Payments</t>
  </si>
  <si>
    <t xml:space="preserve">  Line 5 - Interest Income</t>
  </si>
  <si>
    <t xml:space="preserve">  Line 6a - Ordinary Dividends</t>
  </si>
  <si>
    <t xml:space="preserve">  Line 7 - Royalties</t>
  </si>
  <si>
    <t xml:space="preserve">  Line 8 - Net ST Capital Gain</t>
  </si>
  <si>
    <t xml:space="preserve">  Line 9a - Net LT Capital Gain</t>
  </si>
  <si>
    <t xml:space="preserve">  Line 10 - Sec 1231 Gain</t>
  </si>
  <si>
    <t xml:space="preserve">  Line 11 - Other Income</t>
  </si>
  <si>
    <t xml:space="preserve">  Line 18B - Tax-Exempt Income</t>
  </si>
  <si>
    <t xml:space="preserve">  Increase in Share of Liabilities</t>
  </si>
  <si>
    <t>TOTAL INCREASES</t>
  </si>
  <si>
    <t>DECREASES:</t>
  </si>
  <si>
    <t xml:space="preserve">  Line 1 - Ordinary Loss</t>
  </si>
  <si>
    <t xml:space="preserve">  Line 2 - Net Rental RE Loss</t>
  </si>
  <si>
    <t xml:space="preserve">  Line 3 - Other Rental Loss</t>
  </si>
  <si>
    <t xml:space="preserve">  Line 8 - Net ST Capital Loss</t>
  </si>
  <si>
    <t xml:space="preserve">  Line 9a - Net LT Capital Loss</t>
  </si>
  <si>
    <t xml:space="preserve">  Line 10 - Sec 1231 Loss</t>
  </si>
  <si>
    <t xml:space="preserve">  Line 12 - Sec 179 Deduction</t>
  </si>
  <si>
    <t xml:space="preserve">  Line 13 - Other Deductions</t>
  </si>
  <si>
    <t xml:space="preserve">  Line 18A - Nondeductible Exp</t>
  </si>
  <si>
    <t xml:space="preserve">  Line 19 - Distributions</t>
  </si>
  <si>
    <t xml:space="preserve">  Decrease in Share of Liabilities</t>
  </si>
  <si>
    <t>TOTAL DECREASES</t>
  </si>
  <si>
    <t>Ending Tax Basis (Before Limit)</t>
  </si>
  <si>
    <t>ENDING TAX BASIS</t>
  </si>
  <si>
    <t>LOSS LIMITATION ANALYSIS</t>
  </si>
  <si>
    <t xml:space="preserve">  Losses Before Limitation</t>
  </si>
  <si>
    <t xml:space="preserve">  Basis Available for Losses</t>
  </si>
  <si>
    <t xml:space="preserve">  Losses Allowed This Year</t>
  </si>
  <si>
    <t xml:space="preserve">  Suspended Losses - Current Yr</t>
  </si>
  <si>
    <t xml:space="preserve">  Suspended Losses - Prior Yr</t>
  </si>
  <si>
    <t xml:space="preserve">  Cumulative Suspended Losses</t>
  </si>
  <si>
    <t>DISTRIBUTION ANALYSIS</t>
  </si>
  <si>
    <t xml:space="preserve">  Distributions This Year</t>
  </si>
  <si>
    <t xml:space="preserve">  Basis Before Distribution</t>
  </si>
  <si>
    <t xml:space="preserve">  Excess Distribution (Taxable)</t>
  </si>
  <si>
    <t>LIABILITY DETAIL (Line K)</t>
  </si>
  <si>
    <t xml:space="preserve">  Nonrecourse - Beginning</t>
  </si>
  <si>
    <t xml:space="preserve">  Nonrecourse - Ending</t>
  </si>
  <si>
    <t xml:space="preserve">  Qualified Nonrecourse - Beg</t>
  </si>
  <si>
    <t xml:space="preserve">  Qualified Nonrecourse - End</t>
  </si>
  <si>
    <t xml:space="preserve">  Recourse - Beginning</t>
  </si>
  <si>
    <t xml:space="preserve">  Recourse - Ending</t>
  </si>
  <si>
    <t xml:space="preserve">  Net Liability Change</t>
  </si>
  <si>
    <t>STATUS</t>
  </si>
  <si>
    <t xml:space="preserve">  Basis Status</t>
  </si>
  <si>
    <t xml:space="preserve">  Loss Status</t>
  </si>
  <si>
    <t xml:space="preserve">  Distribution Status</t>
  </si>
  <si>
    <t>PREPARER SIGN-OFF</t>
  </si>
  <si>
    <t>Yellow cells = Data entry required | Green = Increases | Red = Decreases | Blue = Calculated totals</t>
  </si>
  <si>
    <t>Note: Enter all loss/decrease amounts as POSITIVE numbers</t>
  </si>
  <si>
    <t>Inception Year:</t>
  </si>
  <si>
    <t>← Enter inception year (Year 1). All columns auto-calculate.</t>
  </si>
  <si>
    <t>YEAR-END GL ADJUSTMENTS - DETAILED BY INCOME TYPE</t>
  </si>
  <si>
    <t>BOOK CAPITAL ACCOUNT (from K-1 Section L)</t>
  </si>
  <si>
    <t>TAX BASIS (Calculated Above)</t>
  </si>
  <si>
    <t>TOTAL BOOK-TAX DIFFERENCE</t>
  </si>
  <si>
    <t>JOURNAL ENTRIES BY GL ACCOUNT</t>
  </si>
  <si>
    <t>Enter amounts as: Positive = Debit, Negative = Credit</t>
  </si>
  <si>
    <t>1. INTEREST INCOME (GL: Interest Income)</t>
  </si>
  <si>
    <t xml:space="preserve">   Book Interest Income</t>
  </si>
  <si>
    <t xml:space="preserve">   Tax Interest Income (Line 5)</t>
  </si>
  <si>
    <t xml:space="preserve">   Adjustment: DR(CR) Interest Income</t>
  </si>
  <si>
    <t>2. DIVIDEND INCOME (GL: Dividend Income)</t>
  </si>
  <si>
    <t xml:space="preserve">   Book Dividend Income</t>
  </si>
  <si>
    <t xml:space="preserve">   Tax Dividend Income (Line 6a)</t>
  </si>
  <si>
    <t xml:space="preserve">   Adjustment: DR(CR) Dividend Income</t>
  </si>
  <si>
    <t>3. CAPITAL GAINS/LOSSES (GL: Realized Gains/Losses)</t>
  </si>
  <si>
    <t xml:space="preserve">   Book Capital Gains/Losses</t>
  </si>
  <si>
    <t xml:space="preserve">   Tax ST Cap Gain/Loss (Line 8)</t>
  </si>
  <si>
    <t xml:space="preserve">   Tax LT Cap Gain/Loss (Line 9a)</t>
  </si>
  <si>
    <t xml:space="preserve">   Tax Sec 1231 Gain/Loss (Line 10)</t>
  </si>
  <si>
    <t xml:space="preserve">   Total Tax Capital Gains/Losses</t>
  </si>
  <si>
    <t xml:space="preserve">   Adjustment: DR(CR) Capital Gains</t>
  </si>
  <si>
    <t>4. ALL OTHER INCOME/DEDUCTIONS (GL: Partnership Income - General)</t>
  </si>
  <si>
    <t xml:space="preserve">   Tax: Ordinary Income/Loss (Line 1)</t>
  </si>
  <si>
    <t xml:space="preserve">   Tax: Rental Income/Loss (Lines 2-3)</t>
  </si>
  <si>
    <t xml:space="preserve">   Tax: Guaranteed Payments (Line 4c)</t>
  </si>
  <si>
    <t xml:space="preserve">   Tax: Royalties (Line 7)</t>
  </si>
  <si>
    <t xml:space="preserve">   Tax: Other Income (Line 11)</t>
  </si>
  <si>
    <t xml:space="preserve">   Tax: Sec 179 Deduction (Line 12)</t>
  </si>
  <si>
    <t xml:space="preserve">   Tax: Other Deductions (Line 13)</t>
  </si>
  <si>
    <t xml:space="preserve">   Tax: Nondeductible Expenses (Line 18A)</t>
  </si>
  <si>
    <t xml:space="preserve">   Tax: Tax-Exempt Income (Line 18B)</t>
  </si>
  <si>
    <t xml:space="preserve">   Book: Other Partnership Income/Loss</t>
  </si>
  <si>
    <t xml:space="preserve">   Total Tax Other Income/Deductions</t>
  </si>
  <si>
    <t xml:space="preserve">   Adjustment: DR(CR) General Partnership Income</t>
  </si>
  <si>
    <t>5. INVESTMENT IN PARTNERSHIP (GL: Investment in Partnership)</t>
  </si>
  <si>
    <t xml:space="preserve">   Total Adjustment to Investment Account</t>
  </si>
  <si>
    <t>JOURNAL ENTRY SUMMARY (Positive = Debit, Negative = Credit)</t>
  </si>
  <si>
    <t>Account</t>
  </si>
  <si>
    <t>Interest Income</t>
  </si>
  <si>
    <t>Dividend Income</t>
  </si>
  <si>
    <t>Realized Capital Gains/Losses</t>
  </si>
  <si>
    <t>Partnership Income - General</t>
  </si>
  <si>
    <t>Investment in Partnership</t>
  </si>
  <si>
    <t>Check: Must Equal Zero</t>
  </si>
  <si>
    <t>Prepared By:</t>
  </si>
  <si>
    <t>Date:</t>
  </si>
  <si>
    <t>Reviewed By:</t>
  </si>
  <si>
    <t>AC Bell Investors, LLC</t>
  </si>
  <si>
    <t>Gardner Family Trust</t>
  </si>
  <si>
    <t>K-1 CAPITAL ACCOUNT RECONCILIATION (Section L Validation)</t>
  </si>
  <si>
    <t>FROM K-1 SECTION L (Enter from K-1)</t>
  </si>
  <si>
    <t xml:space="preserve">  Beginning Capital Account (Sec L)</t>
  </si>
  <si>
    <t xml:space="preserve">  Capital Contributed During Year</t>
  </si>
  <si>
    <t xml:space="preserve">  Current Year Net Income (Loss)</t>
  </si>
  <si>
    <t xml:space="preserve">  Other Increase (Decrease)</t>
  </si>
  <si>
    <t xml:space="preserve">  Withdrawals &amp; Distributions</t>
  </si>
  <si>
    <t xml:space="preserve">  Ending Capital Account (Sec L)</t>
  </si>
  <si>
    <t>CALCULATED VALUES (From Basis Worksheet)</t>
  </si>
  <si>
    <t xml:space="preserve">  Calculated Beginning Basis</t>
  </si>
  <si>
    <t xml:space="preserve">  Calculated Contributions</t>
  </si>
  <si>
    <t xml:space="preserve">  Calculated Net Income (Loss)</t>
  </si>
  <si>
    <t xml:space="preserve">  Calculated Distributions</t>
  </si>
  <si>
    <t xml:space="preserve">  Calculated Ending Basis</t>
  </si>
  <si>
    <t>VARIANCE ANALYSIS (K-1 vs Calculated)</t>
  </si>
  <si>
    <t xml:space="preserve">  Beginning Basis Variance</t>
  </si>
  <si>
    <t xml:space="preserve">  Contributions Variance</t>
  </si>
  <si>
    <t xml:space="preserve">  Net Income (Loss) Variance</t>
  </si>
  <si>
    <t xml:space="preserve">  Distributions Variance</t>
  </si>
  <si>
    <t>KEY RECONCILIATION: BOOK vs TAX BASIS</t>
  </si>
  <si>
    <t xml:space="preserve">  K-1 Ending Capital (Book)</t>
  </si>
  <si>
    <t xml:space="preserve">  Calculated Ending Tax Basis</t>
  </si>
  <si>
    <t xml:space="preserve">  BOOK-TAX DIFFERENCE</t>
  </si>
  <si>
    <t>COMMON BOOK-TAX DIFFERENCES (Expected Reconciling Items)</t>
  </si>
  <si>
    <t xml:space="preserve">  Sec 704(c) Built-in Gain/Loss</t>
  </si>
  <si>
    <t xml:space="preserve">  Basis Step-up (Sec 754 Election)</t>
  </si>
  <si>
    <t xml:space="preserve">  Timing Differences</t>
  </si>
  <si>
    <t xml:space="preserve">  Other Permanent Differences</t>
  </si>
  <si>
    <t xml:space="preserve">  TOTAL EXPLAINED DIFFERENCES</t>
  </si>
  <si>
    <t xml:space="preserve">  UNEXPLAINED VARIANCE</t>
  </si>
  <si>
    <t>VALIDATION STATUS</t>
  </si>
  <si>
    <t xml:space="preserve">  Data Entry Complete?</t>
  </si>
  <si>
    <t xml:space="preserve">  Reconciliation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</si>
</sst>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;\(#,##0\)"/>
    <numFmt numFmtId="165" formatCode="_(* #,##0_);_(* \(#,##0\);_(* &quot;-&quot;??_);_(@_)"/>
    <numFmt numFmtId="166" formatCode="#,##0;\(#,##0\);\-"/>
  </numFmts>
  <fonts count="11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10"/>
      <color rgb="FFFFFFFF"/>
      <name val="Times New Roman"/>
      <family val="1"/>
    </font>
    <font>
      <b/>
      <sz val="12"/>
      <color rgb="FF000000"/>
      <name val="Times New Roman"/>
      <family val="1"/>
    </font>
    <font>
      <b/>
      <sz val="12"/>
      <color rgb="FFFFFFFF"/>
      <name val="Times New Roman"/>
      <family val="1"/>
    </font>
    <font>
      <i/>
      <sz val="9"/>
      <color rgb="FF000000"/>
      <name val="Times New Roman"/>
      <family val="1"/>
    </font>
    <font>
      <i/>
      <sz val="9"/>
      <color rgb="FFC00000"/>
      <name val="Times New Roman"/>
      <family val="1"/>
    </font>
    <font>
      <i/>
      <sz val="10"/>
      <color rgb="FF666666"/>
      <name val="Times New Roman"/>
      <family val="1"/>
    </font>
    <font>
      <b/>
      <i/>
      <sz val="10"/>
      <color rgb="FF000000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FFD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2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4" fillId="3" borderId="0" xfId="0" applyFont="1" applyFill="1" applyAlignment="1">
      <alignment horizontal="left" vertical="top"/>
    </xf>
    <xf numFmtId="0" fontId="2" fillId="4" borderId="0" xfId="0" applyFont="1" applyFill="1" applyAlignment="1">
      <alignment horizontal="left" vertical="top"/>
    </xf>
    <xf numFmtId="0" fontId="0" fillId="4" borderId="0" xfId="0" applyFill="1" applyAlignment="1">
      <alignment horizontal="left" vertical="top"/>
    </xf>
    <xf numFmtId="0" fontId="2" fillId="5" borderId="0" xfId="0" applyFont="1" applyFill="1" applyAlignment="1">
      <alignment horizontal="left" vertical="top"/>
    </xf>
    <xf numFmtId="0" fontId="0" fillId="5" borderId="0" xfId="0" applyFill="1" applyAlignment="1">
      <alignment horizontal="left" vertical="top"/>
    </xf>
    <xf numFmtId="0" fontId="2" fillId="6" borderId="0" xfId="0" applyFont="1" applyFill="1" applyAlignment="1">
      <alignment horizontal="left" vertical="top"/>
    </xf>
    <xf numFmtId="0" fontId="0" fillId="6" borderId="0" xfId="0" applyFill="1" applyAlignment="1">
      <alignment horizontal="left" vertical="top"/>
    </xf>
    <xf numFmtId="0" fontId="5" fillId="7" borderId="0" xfId="0" applyFont="1" applyFill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0" fillId="8" borderId="0" xfId="0" applyFill="1" applyAlignment="1">
      <alignment horizontal="left" vertical="top"/>
    </xf>
    <xf numFmtId="0" fontId="2" fillId="9" borderId="0" xfId="0" applyFont="1" applyFill="1" applyAlignment="1">
      <alignment horizontal="left" vertical="top"/>
    </xf>
    <xf numFmtId="0" fontId="0" fillId="9" borderId="0" xfId="0" applyFill="1" applyAlignment="1">
      <alignment horizontal="left" vertical="top"/>
    </xf>
    <xf numFmtId="0" fontId="2" fillId="10" borderId="0" xfId="0" applyFont="1" applyFill="1" applyAlignment="1">
      <alignment horizontal="left" vertical="top"/>
    </xf>
    <xf numFmtId="0" fontId="0" fillId="10" borderId="0" xfId="0" applyFill="1" applyAlignment="1">
      <alignment horizontal="left" vertical="top"/>
    </xf>
    <xf numFmtId="3" fontId="0" fillId="2" borderId="0" xfId="0" applyNumberFormat="1" applyFill="1" applyAlignment="1">
      <alignment horizontal="left" vertical="top"/>
    </xf>
    <xf numFmtId="3" fontId="0" fillId="5" borderId="0" xfId="0" applyNumberFormat="1" applyFill="1" applyAlignment="1">
      <alignment horizontal="left" vertical="top"/>
    </xf>
    <xf numFmtId="3" fontId="0" fillId="6" borderId="0" xfId="0" applyNumberFormat="1" applyFill="1" applyAlignment="1">
      <alignment horizontal="left" vertical="top"/>
    </xf>
    <xf numFmtId="3" fontId="0" fillId="0" borderId="0" xfId="0" applyNumberFormat="1" applyAlignment="1">
      <alignment horizontal="left" vertical="top"/>
    </xf>
    <xf numFmtId="3" fontId="5" fillId="7" borderId="0" xfId="0" applyNumberFormat="1" applyFont="1" applyFill="1" applyAlignment="1">
      <alignment horizontal="left" vertical="top"/>
    </xf>
    <xf numFmtId="3" fontId="2" fillId="0" borderId="0" xfId="0" applyNumberFormat="1" applyFont="1" applyAlignment="1">
      <alignment horizontal="left" vertical="top"/>
    </xf>
    <xf numFmtId="0" fontId="0" fillId="0" borderId="0" xfId="0" applyAlignment="1">
      <alignment horizontal="center" vertical="top"/>
    </xf>
    <xf numFmtId="0" fontId="2" fillId="12" borderId="0" xfId="0" applyFont="1" applyFill="1" applyAlignment="1">
      <alignment horizontal="left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1" fontId="2" fillId="13" borderId="0" xfId="0" applyNumberFormat="1" applyFont="1" applyFill="1" applyAlignment="1">
      <alignment horizontal="left" vertical="top"/>
    </xf>
    <xf numFmtId="1" fontId="4" fillId="3" borderId="0" xfId="0" applyNumberFormat="1" applyFont="1" applyFill="1" applyAlignment="1">
      <alignment horizontal="center" vertical="top"/>
    </xf>
    <xf numFmtId="0" fontId="0" fillId="15" borderId="0" xfId="0" applyFill="1" applyAlignment="1">
      <alignment horizontal="left" vertical="top"/>
    </xf>
    <xf numFmtId="0" fontId="2" fillId="17" borderId="0" xfId="0" applyFont="1" applyFill="1" applyAlignment="1">
      <alignment horizontal="left" vertical="top"/>
    </xf>
    <xf numFmtId="164" fontId="0" fillId="15" borderId="0" xfId="0" applyNumberFormat="1" applyFill="1" applyAlignment="1">
      <alignment horizontal="left" vertical="top"/>
    </xf>
    <xf numFmtId="164" fontId="0" fillId="0" borderId="0" xfId="0" applyNumberFormat="1" applyAlignment="1">
      <alignment horizontal="left" vertical="top"/>
    </xf>
    <xf numFmtId="164" fontId="2" fillId="4" borderId="0" xfId="0" applyNumberFormat="1" applyFont="1" applyFill="1" applyAlignment="1">
      <alignment horizontal="left" vertical="top"/>
    </xf>
    <xf numFmtId="164" fontId="0" fillId="5" borderId="0" xfId="0" applyNumberFormat="1" applyFill="1" applyAlignment="1">
      <alignment horizontal="left" vertical="top"/>
    </xf>
    <xf numFmtId="164" fontId="0" fillId="11" borderId="0" xfId="0" applyNumberFormat="1" applyFill="1" applyAlignment="1">
      <alignment horizontal="left" vertical="top"/>
    </xf>
    <xf numFmtId="164" fontId="0" fillId="7" borderId="0" xfId="0" applyNumberFormat="1" applyFill="1" applyAlignment="1">
      <alignment horizontal="left" vertical="top"/>
    </xf>
    <xf numFmtId="0" fontId="2" fillId="18" borderId="1" xfId="0" applyFont="1" applyFill="1" applyBorder="1" applyAlignment="1">
      <alignment horizontal="left" vertical="top"/>
    </xf>
    <xf numFmtId="0" fontId="0" fillId="18" borderId="1" xfId="0" applyFill="1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left" vertical="top"/>
    </xf>
    <xf numFmtId="0" fontId="2" fillId="19" borderId="1" xfId="0" applyFont="1" applyFill="1" applyBorder="1" applyAlignment="1">
      <alignment horizontal="left" vertical="top"/>
    </xf>
    <xf numFmtId="164" fontId="2" fillId="19" borderId="1" xfId="0" applyNumberFormat="1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165" fontId="0" fillId="2" borderId="0" xfId="1" applyNumberFormat="1" applyFont="1" applyFill="1" applyAlignment="1">
      <alignment horizontal="left" vertical="top"/>
    </xf>
    <xf numFmtId="165" fontId="0" fillId="0" borderId="0" xfId="1" applyNumberFormat="1" applyFont="1" applyAlignment="1">
      <alignment horizontal="left" vertical="top"/>
    </xf>
    <xf numFmtId="1" fontId="2" fillId="4" borderId="0" xfId="0" applyNumberFormat="1" applyFont="1" applyFill="1" applyAlignment="1">
      <alignment horizontal="left" vertical="top"/>
    </xf>
    <xf numFmtId="0" fontId="10" fillId="0" borderId="0" xfId="0" applyFont="1" applyAlignment="1">
      <alignment horizontal="left" vertical="top"/>
    </xf>
    <xf numFmtId="166" fontId="0" fillId="13" borderId="0" xfId="0" applyNumberFormat="1" applyFill="1" applyAlignment="1">
      <alignment horizontal="left" vertical="top"/>
    </xf>
    <xf numFmtId="166" fontId="0" fillId="9" borderId="0" xfId="0" applyNumberFormat="1" applyFill="1" applyAlignment="1">
      <alignment horizontal="left" vertical="top"/>
    </xf>
    <xf numFmtId="166" fontId="0" fillId="0" borderId="0" xfId="0" applyNumberFormat="1" applyAlignment="1">
      <alignment horizontal="left" vertical="top"/>
    </xf>
    <xf numFmtId="0" fontId="2" fillId="20" borderId="0" xfId="0" applyFont="1" applyFill="1" applyAlignment="1">
      <alignment horizontal="left" vertical="top"/>
    </xf>
    <xf numFmtId="166" fontId="2" fillId="12" borderId="0" xfId="0" applyNumberFormat="1" applyFont="1" applyFill="1" applyAlignment="1">
      <alignment horizontal="left" vertical="top"/>
    </xf>
    <xf numFmtId="166" fontId="2" fillId="0" borderId="0" xfId="0" applyNumberFormat="1" applyFont="1" applyAlignment="1">
      <alignment horizontal="left" vertical="top"/>
    </xf>
    <xf numFmtId="166" fontId="2" fillId="11" borderId="0" xfId="0" applyNumberFormat="1" applyFont="1" applyFill="1" applyAlignment="1">
      <alignment horizontal="left" vertical="top"/>
    </xf>
    <xf numFmtId="0" fontId="9" fillId="0" borderId="0" xfId="0" applyFont="1" applyAlignment="1">
      <alignment horizontal="left" vertical="top"/>
    </xf>
    <xf numFmtId="0" fontId="6" fillId="14" borderId="0" xfId="0" applyFont="1" applyFill="1" applyAlignment="1">
      <alignment horizontal="left" vertical="top"/>
    </xf>
    <xf numFmtId="0" fontId="0" fillId="0" borderId="0" xfId="0" applyAlignment="1">
      <alignment horizontal="left" vertical="top"/>
    </xf>
    <xf numFmtId="0" fontId="4" fillId="16" borderId="0" xfId="0" applyFont="1" applyFill="1" applyAlignment="1">
      <alignment horizontal="left" vertical="top"/>
    </xf>
    <xf numFmtId="0" fontId="4" fillId="14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ED401-EDF1-4FC6-B128-A5B0EE4877AB}">
  <dimension ref="A1:K174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4" sqref="B4"/>
    </sheetView>
  </sheetViews>
  <sheetFormatPr defaultRowHeight="13.15" x14ac:dyDescent="0.4"/>
  <cols>
    <col min="1" max="1" width="72.7109375" bestFit="1" customWidth="1"/>
    <col min="2" max="11" width="16.2109375" customWidth="1"/>
  </cols>
  <sheetData>
    <row r="1" spans="1:11" ht="17.25" x14ac:dyDescent="0.4">
      <c r="A1" s="2" t="s">
        <v>0</v>
      </c>
    </row>
    <row r="2" spans="1:11" x14ac:dyDescent="0.4">
      <c r="A2" s="26" t="s">
        <v>62</v>
      </c>
    </row>
    <row r="3" spans="1:11" x14ac:dyDescent="0.4">
      <c r="A3" s="1" t="s">
        <v>1</v>
      </c>
      <c r="B3" s="44" t="s">
        <v>113</v>
      </c>
    </row>
    <row r="4" spans="1:11" x14ac:dyDescent="0.4">
      <c r="A4" s="1" t="s">
        <v>2</v>
      </c>
      <c r="B4" s="44" t="s">
        <v>114</v>
      </c>
    </row>
    <row r="5" spans="1:11" x14ac:dyDescent="0.4">
      <c r="A5" s="1" t="s">
        <v>3</v>
      </c>
      <c r="B5" s="44"/>
    </row>
    <row r="6" spans="1:11" x14ac:dyDescent="0.4">
      <c r="A6" s="1" t="s">
        <v>64</v>
      </c>
      <c r="B6" s="28">
        <v>2021</v>
      </c>
      <c r="C6" s="56" t="s">
        <v>65</v>
      </c>
      <c r="D6" s="56"/>
      <c r="E6" s="56"/>
      <c r="F6" s="56"/>
    </row>
    <row r="7" spans="1:11" x14ac:dyDescent="0.4">
      <c r="A7" s="4" t="s">
        <v>4</v>
      </c>
      <c r="B7" s="29">
        <f>$B$6</f>
        <v>2021</v>
      </c>
      <c r="C7" s="29">
        <f t="shared" ref="C7:K7" si="0">B7+1</f>
        <v>2022</v>
      </c>
      <c r="D7" s="29">
        <f t="shared" si="0"/>
        <v>2023</v>
      </c>
      <c r="E7" s="29">
        <f t="shared" si="0"/>
        <v>2024</v>
      </c>
      <c r="F7" s="29">
        <f t="shared" si="0"/>
        <v>2025</v>
      </c>
      <c r="G7" s="29">
        <f t="shared" si="0"/>
        <v>2026</v>
      </c>
      <c r="H7" s="29">
        <f t="shared" si="0"/>
        <v>2027</v>
      </c>
      <c r="I7" s="29">
        <f t="shared" si="0"/>
        <v>2028</v>
      </c>
      <c r="J7" s="29">
        <f t="shared" si="0"/>
        <v>2029</v>
      </c>
      <c r="K7" s="29">
        <f t="shared" si="0"/>
        <v>2030</v>
      </c>
    </row>
    <row r="9" spans="1:11" x14ac:dyDescent="0.4">
      <c r="A9" s="5" t="s">
        <v>5</v>
      </c>
      <c r="B9" s="6"/>
      <c r="C9" s="6"/>
      <c r="D9" s="6"/>
      <c r="E9" s="6"/>
      <c r="F9" s="6"/>
      <c r="G9" s="6"/>
      <c r="H9" s="6"/>
      <c r="I9" s="6"/>
      <c r="J9" s="6"/>
      <c r="K9" s="6"/>
    </row>
    <row r="10" spans="1:11" x14ac:dyDescent="0.4">
      <c r="A10" t="s">
        <v>6</v>
      </c>
      <c r="B10" s="45">
        <v>0</v>
      </c>
      <c r="C10" s="46">
        <f t="shared" ref="C10:K10" si="1">B44</f>
        <v>1932344</v>
      </c>
      <c r="D10" s="46">
        <f t="shared" si="1"/>
        <v>1684727</v>
      </c>
      <c r="E10" s="46">
        <f t="shared" si="1"/>
        <v>1376978</v>
      </c>
      <c r="F10" s="46">
        <f t="shared" si="1"/>
        <v>1144214</v>
      </c>
      <c r="G10" s="46">
        <f t="shared" si="1"/>
        <v>695823</v>
      </c>
      <c r="H10" s="46">
        <f t="shared" si="1"/>
        <v>695823</v>
      </c>
      <c r="I10" s="46">
        <f t="shared" si="1"/>
        <v>695823</v>
      </c>
      <c r="J10" s="46">
        <f t="shared" si="1"/>
        <v>695823</v>
      </c>
      <c r="K10" s="46">
        <f t="shared" si="1"/>
        <v>695823</v>
      </c>
    </row>
    <row r="12" spans="1:11" x14ac:dyDescent="0.4">
      <c r="A12" s="7" t="s">
        <v>7</v>
      </c>
      <c r="B12" s="8"/>
      <c r="C12" s="8"/>
      <c r="D12" s="8"/>
      <c r="E12" s="8"/>
      <c r="F12" s="8"/>
      <c r="G12" s="8"/>
      <c r="H12" s="8"/>
      <c r="I12" s="8"/>
      <c r="J12" s="8"/>
      <c r="K12" s="8"/>
    </row>
    <row r="13" spans="1:11" x14ac:dyDescent="0.4">
      <c r="A13" t="s">
        <v>8</v>
      </c>
      <c r="B13" s="18">
        <v>3000000</v>
      </c>
      <c r="C13" s="18"/>
      <c r="D13" s="18"/>
      <c r="E13" s="18"/>
      <c r="F13" s="18"/>
      <c r="G13" s="18"/>
      <c r="H13" s="18"/>
      <c r="I13" s="18"/>
      <c r="J13" s="18"/>
      <c r="K13" s="18"/>
    </row>
    <row r="14" spans="1:11" x14ac:dyDescent="0.4">
      <c r="A14" t="s">
        <v>9</v>
      </c>
      <c r="B14" s="18"/>
      <c r="C14" s="18"/>
      <c r="D14" s="18"/>
      <c r="E14" s="18">
        <v>9038</v>
      </c>
      <c r="F14" s="18"/>
      <c r="G14" s="18"/>
      <c r="H14" s="18"/>
      <c r="I14" s="18"/>
      <c r="J14" s="18"/>
      <c r="K14" s="18"/>
    </row>
    <row r="15" spans="1:11" x14ac:dyDescent="0.4">
      <c r="A15" t="s">
        <v>10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</row>
    <row r="16" spans="1:11" x14ac:dyDescent="0.4">
      <c r="A16" t="s">
        <v>11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</row>
    <row r="17" spans="1:11" x14ac:dyDescent="0.4">
      <c r="A17" t="s">
        <v>12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</row>
    <row r="18" spans="1:11" x14ac:dyDescent="0.4">
      <c r="A18" t="s">
        <v>13</v>
      </c>
      <c r="B18" s="18"/>
      <c r="C18" s="18">
        <v>1996</v>
      </c>
      <c r="D18" s="18">
        <v>12354</v>
      </c>
      <c r="E18" s="18">
        <v>13816</v>
      </c>
      <c r="F18" s="18">
        <v>7469</v>
      </c>
      <c r="G18" s="18"/>
      <c r="H18" s="18"/>
      <c r="I18" s="18"/>
      <c r="J18" s="18"/>
      <c r="K18" s="18"/>
    </row>
    <row r="19" spans="1:11" x14ac:dyDescent="0.4">
      <c r="A19" t="s">
        <v>14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</row>
    <row r="20" spans="1:11" x14ac:dyDescent="0.4">
      <c r="A20" t="s">
        <v>15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</row>
    <row r="21" spans="1:11" x14ac:dyDescent="0.4">
      <c r="A21" t="s">
        <v>16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</row>
    <row r="22" spans="1:11" x14ac:dyDescent="0.4">
      <c r="A22" t="s">
        <v>17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</row>
    <row r="23" spans="1:11" x14ac:dyDescent="0.4">
      <c r="A23" t="s">
        <v>18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</row>
    <row r="24" spans="1:11" x14ac:dyDescent="0.4">
      <c r="A24" t="s">
        <v>19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</row>
    <row r="25" spans="1:11" x14ac:dyDescent="0.4">
      <c r="A25" t="s">
        <v>20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</row>
    <row r="26" spans="1:11" x14ac:dyDescent="0.4">
      <c r="A26" t="s">
        <v>21</v>
      </c>
      <c r="B26" s="18">
        <f t="shared" ref="B26:K26" si="2">IF(B66&gt;0,B66,0)</f>
        <v>0</v>
      </c>
      <c r="C26" s="18">
        <f t="shared" si="2"/>
        <v>0</v>
      </c>
      <c r="D26" s="18">
        <f t="shared" si="2"/>
        <v>0</v>
      </c>
      <c r="E26" s="18">
        <f t="shared" si="2"/>
        <v>0</v>
      </c>
      <c r="F26" s="18">
        <f t="shared" si="2"/>
        <v>0</v>
      </c>
      <c r="G26" s="18">
        <f t="shared" si="2"/>
        <v>0</v>
      </c>
      <c r="H26" s="18">
        <f t="shared" si="2"/>
        <v>0</v>
      </c>
      <c r="I26" s="18">
        <f t="shared" si="2"/>
        <v>0</v>
      </c>
      <c r="J26" s="18">
        <f t="shared" si="2"/>
        <v>0</v>
      </c>
      <c r="K26" s="18">
        <f t="shared" si="2"/>
        <v>0</v>
      </c>
    </row>
    <row r="27" spans="1:11" x14ac:dyDescent="0.4">
      <c r="A27" s="7" t="s">
        <v>22</v>
      </c>
      <c r="B27" s="19">
        <f t="shared" ref="B27:K27" si="3">SUM(B13:B26)</f>
        <v>3000000</v>
      </c>
      <c r="C27" s="19">
        <f t="shared" si="3"/>
        <v>1996</v>
      </c>
      <c r="D27" s="19">
        <f t="shared" si="3"/>
        <v>12354</v>
      </c>
      <c r="E27" s="19">
        <f t="shared" si="3"/>
        <v>22854</v>
      </c>
      <c r="F27" s="19">
        <f t="shared" si="3"/>
        <v>7469</v>
      </c>
      <c r="G27" s="19">
        <f t="shared" si="3"/>
        <v>0</v>
      </c>
      <c r="H27" s="19">
        <f t="shared" si="3"/>
        <v>0</v>
      </c>
      <c r="I27" s="19">
        <f t="shared" si="3"/>
        <v>0</v>
      </c>
      <c r="J27" s="19">
        <f t="shared" si="3"/>
        <v>0</v>
      </c>
      <c r="K27" s="19">
        <f t="shared" si="3"/>
        <v>0</v>
      </c>
    </row>
    <row r="28" spans="1:11" x14ac:dyDescent="0.4">
      <c r="A28" s="27" t="s">
        <v>63</v>
      </c>
    </row>
    <row r="29" spans="1:11" x14ac:dyDescent="0.4">
      <c r="A29" s="9" t="s">
        <v>23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</row>
    <row r="30" spans="1:11" x14ac:dyDescent="0.4">
      <c r="A30" t="s">
        <v>24</v>
      </c>
      <c r="B30" s="18">
        <v>1067656</v>
      </c>
      <c r="C30" s="18">
        <v>57343</v>
      </c>
      <c r="D30" s="18">
        <v>31513</v>
      </c>
      <c r="E30" s="18"/>
      <c r="F30" s="18">
        <v>173653</v>
      </c>
      <c r="G30" s="18"/>
      <c r="H30" s="18"/>
      <c r="I30" s="18"/>
      <c r="J30" s="18"/>
      <c r="K30" s="18"/>
    </row>
    <row r="31" spans="1:11" x14ac:dyDescent="0.4">
      <c r="A31" t="s">
        <v>25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</row>
    <row r="32" spans="1:11" x14ac:dyDescent="0.4">
      <c r="A32" t="s">
        <v>26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</row>
    <row r="33" spans="1:11" x14ac:dyDescent="0.4">
      <c r="A33" t="s">
        <v>27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</row>
    <row r="34" spans="1:11" x14ac:dyDescent="0.4">
      <c r="A34" t="s">
        <v>28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</row>
    <row r="35" spans="1:11" x14ac:dyDescent="0.4">
      <c r="A35" t="s">
        <v>29</v>
      </c>
      <c r="B35" s="18"/>
      <c r="C35" s="18"/>
      <c r="D35" s="18">
        <v>14970</v>
      </c>
      <c r="E35" s="18">
        <v>8777</v>
      </c>
      <c r="F35" s="18">
        <v>22899</v>
      </c>
      <c r="G35" s="18"/>
      <c r="H35" s="18"/>
      <c r="I35" s="18"/>
      <c r="J35" s="18"/>
      <c r="K35" s="18"/>
    </row>
    <row r="36" spans="1:11" x14ac:dyDescent="0.4">
      <c r="A36" t="s">
        <v>30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</row>
    <row r="37" spans="1:11" x14ac:dyDescent="0.4">
      <c r="A37" t="s">
        <v>31</v>
      </c>
      <c r="B37" s="18"/>
      <c r="C37" s="18">
        <v>855</v>
      </c>
      <c r="D37" s="18">
        <v>362</v>
      </c>
      <c r="E37" s="18">
        <v>1517</v>
      </c>
      <c r="F37" s="18">
        <f>891+2313+22</f>
        <v>3226</v>
      </c>
      <c r="G37" s="18"/>
      <c r="H37" s="18"/>
      <c r="I37" s="18"/>
      <c r="J37" s="18"/>
      <c r="K37" s="18"/>
    </row>
    <row r="38" spans="1:11" x14ac:dyDescent="0.4">
      <c r="A38" t="s">
        <v>32</v>
      </c>
      <c r="B38" s="18"/>
      <c r="C38" s="18">
        <v>642</v>
      </c>
      <c r="D38" s="18">
        <v>181</v>
      </c>
      <c r="E38" s="18">
        <v>261</v>
      </c>
      <c r="F38" s="18">
        <v>296</v>
      </c>
      <c r="G38" s="18"/>
      <c r="H38" s="18"/>
      <c r="I38" s="18"/>
      <c r="J38" s="18"/>
      <c r="K38" s="18"/>
    </row>
    <row r="39" spans="1:11" x14ac:dyDescent="0.4">
      <c r="A39" t="s">
        <v>33</v>
      </c>
      <c r="B39" s="18"/>
      <c r="C39" s="18">
        <v>190773</v>
      </c>
      <c r="D39" s="18">
        <v>273077</v>
      </c>
      <c r="E39" s="18">
        <v>245063</v>
      </c>
      <c r="F39" s="18">
        <v>255786</v>
      </c>
      <c r="G39" s="18"/>
      <c r="H39" s="18"/>
      <c r="I39" s="18"/>
      <c r="J39" s="18"/>
      <c r="K39" s="18"/>
    </row>
    <row r="40" spans="1:11" x14ac:dyDescent="0.4">
      <c r="A40" t="s">
        <v>34</v>
      </c>
      <c r="B40" s="18">
        <f t="shared" ref="B40:K40" si="4">IF(B66&lt;0,ABS(B66),0)</f>
        <v>0</v>
      </c>
      <c r="C40" s="18">
        <f t="shared" si="4"/>
        <v>0</v>
      </c>
      <c r="D40" s="18">
        <f t="shared" si="4"/>
        <v>0</v>
      </c>
      <c r="E40" s="18">
        <f t="shared" si="4"/>
        <v>0</v>
      </c>
      <c r="F40" s="18">
        <f t="shared" si="4"/>
        <v>0</v>
      </c>
      <c r="G40" s="18">
        <f t="shared" si="4"/>
        <v>0</v>
      </c>
      <c r="H40" s="18">
        <f t="shared" si="4"/>
        <v>0</v>
      </c>
      <c r="I40" s="18">
        <f t="shared" si="4"/>
        <v>0</v>
      </c>
      <c r="J40" s="18">
        <f t="shared" si="4"/>
        <v>0</v>
      </c>
      <c r="K40" s="18">
        <f t="shared" si="4"/>
        <v>0</v>
      </c>
    </row>
    <row r="41" spans="1:11" x14ac:dyDescent="0.4">
      <c r="A41" s="9" t="s">
        <v>35</v>
      </c>
      <c r="B41" s="20">
        <f t="shared" ref="B41:K41" si="5">SUM(B30:B40)</f>
        <v>1067656</v>
      </c>
      <c r="C41" s="20">
        <f t="shared" si="5"/>
        <v>249613</v>
      </c>
      <c r="D41" s="20">
        <f t="shared" si="5"/>
        <v>320103</v>
      </c>
      <c r="E41" s="20">
        <f t="shared" si="5"/>
        <v>255618</v>
      </c>
      <c r="F41" s="20">
        <f t="shared" si="5"/>
        <v>455860</v>
      </c>
      <c r="G41" s="20">
        <f t="shared" si="5"/>
        <v>0</v>
      </c>
      <c r="H41" s="20">
        <f t="shared" si="5"/>
        <v>0</v>
      </c>
      <c r="I41" s="20">
        <f t="shared" si="5"/>
        <v>0</v>
      </c>
      <c r="J41" s="20">
        <f t="shared" si="5"/>
        <v>0</v>
      </c>
      <c r="K41" s="20">
        <f t="shared" si="5"/>
        <v>0</v>
      </c>
    </row>
    <row r="43" spans="1:11" x14ac:dyDescent="0.4">
      <c r="A43" t="s">
        <v>36</v>
      </c>
      <c r="B43" s="21">
        <f t="shared" ref="B43:K43" si="6">B10+B27-B41</f>
        <v>1932344</v>
      </c>
      <c r="C43" s="21">
        <f t="shared" si="6"/>
        <v>1684727</v>
      </c>
      <c r="D43" s="21">
        <f t="shared" si="6"/>
        <v>1376978</v>
      </c>
      <c r="E43" s="21">
        <f t="shared" si="6"/>
        <v>1144214</v>
      </c>
      <c r="F43" s="21">
        <f t="shared" si="6"/>
        <v>695823</v>
      </c>
      <c r="G43" s="21">
        <f t="shared" si="6"/>
        <v>695823</v>
      </c>
      <c r="H43" s="21">
        <f t="shared" si="6"/>
        <v>695823</v>
      </c>
      <c r="I43" s="21">
        <f t="shared" si="6"/>
        <v>695823</v>
      </c>
      <c r="J43" s="21">
        <f t="shared" si="6"/>
        <v>695823</v>
      </c>
      <c r="K43" s="21">
        <f t="shared" si="6"/>
        <v>695823</v>
      </c>
    </row>
    <row r="44" spans="1:11" ht="15" x14ac:dyDescent="0.4">
      <c r="A44" s="11" t="s">
        <v>37</v>
      </c>
      <c r="B44" s="22">
        <f t="shared" ref="B44:K44" si="7">MAX(0,B43)</f>
        <v>1932344</v>
      </c>
      <c r="C44" s="22">
        <f t="shared" si="7"/>
        <v>1684727</v>
      </c>
      <c r="D44" s="22">
        <f t="shared" si="7"/>
        <v>1376978</v>
      </c>
      <c r="E44" s="22">
        <f t="shared" si="7"/>
        <v>1144214</v>
      </c>
      <c r="F44" s="22">
        <f t="shared" si="7"/>
        <v>695823</v>
      </c>
      <c r="G44" s="22">
        <f t="shared" si="7"/>
        <v>695823</v>
      </c>
      <c r="H44" s="22">
        <f t="shared" si="7"/>
        <v>695823</v>
      </c>
      <c r="I44" s="22">
        <f t="shared" si="7"/>
        <v>695823</v>
      </c>
      <c r="J44" s="22">
        <f t="shared" si="7"/>
        <v>695823</v>
      </c>
      <c r="K44" s="22">
        <f t="shared" si="7"/>
        <v>695823</v>
      </c>
    </row>
    <row r="46" spans="1:11" x14ac:dyDescent="0.4">
      <c r="A46" s="12" t="s">
        <v>38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</row>
    <row r="47" spans="1:11" x14ac:dyDescent="0.4">
      <c r="A47" t="s">
        <v>39</v>
      </c>
      <c r="B47" s="21">
        <f t="shared" ref="B47:K47" si="8">SUM(B30:B35)</f>
        <v>1067656</v>
      </c>
      <c r="C47" s="21">
        <f t="shared" si="8"/>
        <v>57343</v>
      </c>
      <c r="D47" s="21">
        <f t="shared" si="8"/>
        <v>46483</v>
      </c>
      <c r="E47" s="21">
        <f t="shared" si="8"/>
        <v>8777</v>
      </c>
      <c r="F47" s="21">
        <f t="shared" si="8"/>
        <v>196552</v>
      </c>
      <c r="G47" s="21">
        <f t="shared" si="8"/>
        <v>0</v>
      </c>
      <c r="H47" s="21">
        <f t="shared" si="8"/>
        <v>0</v>
      </c>
      <c r="I47" s="21">
        <f t="shared" si="8"/>
        <v>0</v>
      </c>
      <c r="J47" s="21">
        <f t="shared" si="8"/>
        <v>0</v>
      </c>
      <c r="K47" s="21">
        <f t="shared" si="8"/>
        <v>0</v>
      </c>
    </row>
    <row r="48" spans="1:11" x14ac:dyDescent="0.4">
      <c r="A48" t="s">
        <v>40</v>
      </c>
      <c r="B48" s="21">
        <f t="shared" ref="B48:K48" si="9">B10+B27-SUM(B36:B40)</f>
        <v>3000000</v>
      </c>
      <c r="C48" s="21">
        <f t="shared" si="9"/>
        <v>1742070</v>
      </c>
      <c r="D48" s="21">
        <f t="shared" si="9"/>
        <v>1423461</v>
      </c>
      <c r="E48" s="21">
        <f t="shared" si="9"/>
        <v>1152991</v>
      </c>
      <c r="F48" s="21">
        <f t="shared" si="9"/>
        <v>892375</v>
      </c>
      <c r="G48" s="21">
        <f t="shared" si="9"/>
        <v>695823</v>
      </c>
      <c r="H48" s="21">
        <f t="shared" si="9"/>
        <v>695823</v>
      </c>
      <c r="I48" s="21">
        <f t="shared" si="9"/>
        <v>695823</v>
      </c>
      <c r="J48" s="21">
        <f t="shared" si="9"/>
        <v>695823</v>
      </c>
      <c r="K48" s="21">
        <f t="shared" si="9"/>
        <v>695823</v>
      </c>
    </row>
    <row r="49" spans="1:11" x14ac:dyDescent="0.4">
      <c r="A49" t="s">
        <v>41</v>
      </c>
      <c r="B49" s="21">
        <f t="shared" ref="B49:K49" si="10">MIN(B47,MAX(0,B48))</f>
        <v>1067656</v>
      </c>
      <c r="C49" s="21">
        <f t="shared" si="10"/>
        <v>57343</v>
      </c>
      <c r="D49" s="21">
        <f t="shared" si="10"/>
        <v>46483</v>
      </c>
      <c r="E49" s="21">
        <f t="shared" si="10"/>
        <v>8777</v>
      </c>
      <c r="F49" s="21">
        <f t="shared" si="10"/>
        <v>196552</v>
      </c>
      <c r="G49" s="21">
        <f t="shared" si="10"/>
        <v>0</v>
      </c>
      <c r="H49" s="21">
        <f t="shared" si="10"/>
        <v>0</v>
      </c>
      <c r="I49" s="21">
        <f t="shared" si="10"/>
        <v>0</v>
      </c>
      <c r="J49" s="21">
        <f t="shared" si="10"/>
        <v>0</v>
      </c>
      <c r="K49" s="21">
        <f t="shared" si="10"/>
        <v>0</v>
      </c>
    </row>
    <row r="50" spans="1:11" x14ac:dyDescent="0.4">
      <c r="A50" t="s">
        <v>42</v>
      </c>
      <c r="B50" s="21">
        <f t="shared" ref="B50:K50" si="11">MAX(0,B47-B49)</f>
        <v>0</v>
      </c>
      <c r="C50" s="21">
        <f t="shared" si="11"/>
        <v>0</v>
      </c>
      <c r="D50" s="21">
        <f t="shared" si="11"/>
        <v>0</v>
      </c>
      <c r="E50" s="21">
        <f t="shared" si="11"/>
        <v>0</v>
      </c>
      <c r="F50" s="21">
        <f t="shared" si="11"/>
        <v>0</v>
      </c>
      <c r="G50" s="21">
        <f t="shared" si="11"/>
        <v>0</v>
      </c>
      <c r="H50" s="21">
        <f t="shared" si="11"/>
        <v>0</v>
      </c>
      <c r="I50" s="21">
        <f t="shared" si="11"/>
        <v>0</v>
      </c>
      <c r="J50" s="21">
        <f t="shared" si="11"/>
        <v>0</v>
      </c>
      <c r="K50" s="21">
        <f t="shared" si="11"/>
        <v>0</v>
      </c>
    </row>
    <row r="51" spans="1:11" x14ac:dyDescent="0.4">
      <c r="A51" t="s">
        <v>43</v>
      </c>
      <c r="B51" s="21">
        <v>0</v>
      </c>
      <c r="C51" s="21">
        <f t="shared" ref="C51:K51" si="12">B52</f>
        <v>0</v>
      </c>
      <c r="D51" s="21">
        <f t="shared" si="12"/>
        <v>0</v>
      </c>
      <c r="E51" s="21">
        <f t="shared" si="12"/>
        <v>0</v>
      </c>
      <c r="F51" s="21">
        <f t="shared" si="12"/>
        <v>0</v>
      </c>
      <c r="G51" s="21">
        <f t="shared" si="12"/>
        <v>0</v>
      </c>
      <c r="H51" s="21">
        <f t="shared" si="12"/>
        <v>0</v>
      </c>
      <c r="I51" s="21">
        <f t="shared" si="12"/>
        <v>0</v>
      </c>
      <c r="J51" s="21">
        <f t="shared" si="12"/>
        <v>0</v>
      </c>
      <c r="K51" s="21">
        <f t="shared" si="12"/>
        <v>0</v>
      </c>
    </row>
    <row r="52" spans="1:11" x14ac:dyDescent="0.4">
      <c r="A52" t="s">
        <v>44</v>
      </c>
      <c r="B52" s="21">
        <f t="shared" ref="B52:K52" si="13">B50+B51</f>
        <v>0</v>
      </c>
      <c r="C52" s="21">
        <f t="shared" si="13"/>
        <v>0</v>
      </c>
      <c r="D52" s="21">
        <f t="shared" si="13"/>
        <v>0</v>
      </c>
      <c r="E52" s="21">
        <f t="shared" si="13"/>
        <v>0</v>
      </c>
      <c r="F52" s="21">
        <f t="shared" si="13"/>
        <v>0</v>
      </c>
      <c r="G52" s="21">
        <f t="shared" si="13"/>
        <v>0</v>
      </c>
      <c r="H52" s="21">
        <f t="shared" si="13"/>
        <v>0</v>
      </c>
      <c r="I52" s="21">
        <f t="shared" si="13"/>
        <v>0</v>
      </c>
      <c r="J52" s="21">
        <f t="shared" si="13"/>
        <v>0</v>
      </c>
      <c r="K52" s="21">
        <f t="shared" si="13"/>
        <v>0</v>
      </c>
    </row>
    <row r="54" spans="1:11" x14ac:dyDescent="0.4">
      <c r="A54" s="12" t="s">
        <v>45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</row>
    <row r="55" spans="1:11" x14ac:dyDescent="0.4">
      <c r="A55" t="s">
        <v>46</v>
      </c>
      <c r="B55" s="21">
        <f t="shared" ref="B55:K55" si="14">B39</f>
        <v>0</v>
      </c>
      <c r="C55" s="21">
        <f t="shared" si="14"/>
        <v>190773</v>
      </c>
      <c r="D55" s="21">
        <f t="shared" si="14"/>
        <v>273077</v>
      </c>
      <c r="E55" s="21">
        <f t="shared" si="14"/>
        <v>245063</v>
      </c>
      <c r="F55" s="21">
        <f t="shared" si="14"/>
        <v>255786</v>
      </c>
      <c r="G55" s="21">
        <f t="shared" si="14"/>
        <v>0</v>
      </c>
      <c r="H55" s="21">
        <f t="shared" si="14"/>
        <v>0</v>
      </c>
      <c r="I55" s="21">
        <f t="shared" si="14"/>
        <v>0</v>
      </c>
      <c r="J55" s="21">
        <f t="shared" si="14"/>
        <v>0</v>
      </c>
      <c r="K55" s="21">
        <f t="shared" si="14"/>
        <v>0</v>
      </c>
    </row>
    <row r="56" spans="1:11" x14ac:dyDescent="0.4">
      <c r="A56" t="s">
        <v>47</v>
      </c>
      <c r="B56" s="21">
        <f t="shared" ref="B56:K56" si="15">B10+B27-(B41-B39)</f>
        <v>1932344</v>
      </c>
      <c r="C56" s="21">
        <f t="shared" si="15"/>
        <v>1875500</v>
      </c>
      <c r="D56" s="21">
        <f t="shared" si="15"/>
        <v>1650055</v>
      </c>
      <c r="E56" s="21">
        <f t="shared" si="15"/>
        <v>1389277</v>
      </c>
      <c r="F56" s="21">
        <f t="shared" si="15"/>
        <v>951609</v>
      </c>
      <c r="G56" s="21">
        <f t="shared" si="15"/>
        <v>695823</v>
      </c>
      <c r="H56" s="21">
        <f t="shared" si="15"/>
        <v>695823</v>
      </c>
      <c r="I56" s="21">
        <f t="shared" si="15"/>
        <v>695823</v>
      </c>
      <c r="J56" s="21">
        <f t="shared" si="15"/>
        <v>695823</v>
      </c>
      <c r="K56" s="21">
        <f t="shared" si="15"/>
        <v>695823</v>
      </c>
    </row>
    <row r="57" spans="1:11" x14ac:dyDescent="0.4">
      <c r="A57" t="s">
        <v>48</v>
      </c>
      <c r="B57" s="21">
        <f t="shared" ref="B57:K57" si="16">MAX(0,B55-MAX(0,B56))</f>
        <v>0</v>
      </c>
      <c r="C57" s="21">
        <f t="shared" si="16"/>
        <v>0</v>
      </c>
      <c r="D57" s="21">
        <f t="shared" si="16"/>
        <v>0</v>
      </c>
      <c r="E57" s="21">
        <f t="shared" si="16"/>
        <v>0</v>
      </c>
      <c r="F57" s="21">
        <f t="shared" si="16"/>
        <v>0</v>
      </c>
      <c r="G57" s="21">
        <f t="shared" si="16"/>
        <v>0</v>
      </c>
      <c r="H57" s="21">
        <f t="shared" si="16"/>
        <v>0</v>
      </c>
      <c r="I57" s="21">
        <f t="shared" si="16"/>
        <v>0</v>
      </c>
      <c r="J57" s="21">
        <f t="shared" si="16"/>
        <v>0</v>
      </c>
      <c r="K57" s="21">
        <f t="shared" si="16"/>
        <v>0</v>
      </c>
    </row>
    <row r="59" spans="1:11" x14ac:dyDescent="0.4">
      <c r="A59" s="14" t="s">
        <v>49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</row>
    <row r="60" spans="1:11" x14ac:dyDescent="0.4">
      <c r="A60" t="s">
        <v>50</v>
      </c>
      <c r="B60" s="18">
        <v>0</v>
      </c>
      <c r="C60" s="18">
        <f t="shared" ref="C60:K60" si="17">B61</f>
        <v>0</v>
      </c>
      <c r="D60" s="18">
        <f t="shared" si="17"/>
        <v>0</v>
      </c>
      <c r="E60" s="18">
        <f t="shared" si="17"/>
        <v>0</v>
      </c>
      <c r="F60" s="18">
        <f t="shared" si="17"/>
        <v>0</v>
      </c>
      <c r="G60" s="18">
        <f t="shared" si="17"/>
        <v>0</v>
      </c>
      <c r="H60" s="18">
        <f t="shared" si="17"/>
        <v>0</v>
      </c>
      <c r="I60" s="18">
        <f t="shared" si="17"/>
        <v>0</v>
      </c>
      <c r="J60" s="18">
        <f t="shared" si="17"/>
        <v>0</v>
      </c>
      <c r="K60" s="18">
        <f t="shared" si="17"/>
        <v>0</v>
      </c>
    </row>
    <row r="61" spans="1:11" x14ac:dyDescent="0.4">
      <c r="A61" t="s">
        <v>51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</row>
    <row r="62" spans="1:11" x14ac:dyDescent="0.4">
      <c r="A62" t="s">
        <v>52</v>
      </c>
      <c r="B62" s="18">
        <v>0</v>
      </c>
      <c r="C62" s="18">
        <f t="shared" ref="C62:K62" si="18">B63</f>
        <v>0</v>
      </c>
      <c r="D62" s="18">
        <f t="shared" si="18"/>
        <v>0</v>
      </c>
      <c r="E62" s="18">
        <f t="shared" si="18"/>
        <v>0</v>
      </c>
      <c r="F62" s="18">
        <f t="shared" si="18"/>
        <v>0</v>
      </c>
      <c r="G62" s="18">
        <f t="shared" si="18"/>
        <v>0</v>
      </c>
      <c r="H62" s="18">
        <f t="shared" si="18"/>
        <v>0</v>
      </c>
      <c r="I62" s="18">
        <f t="shared" si="18"/>
        <v>0</v>
      </c>
      <c r="J62" s="18">
        <f t="shared" si="18"/>
        <v>0</v>
      </c>
      <c r="K62" s="18">
        <f t="shared" si="18"/>
        <v>0</v>
      </c>
    </row>
    <row r="63" spans="1:11" x14ac:dyDescent="0.4">
      <c r="A63" t="s">
        <v>53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</row>
    <row r="64" spans="1:11" x14ac:dyDescent="0.4">
      <c r="A64" t="s">
        <v>54</v>
      </c>
      <c r="B64" s="18">
        <v>0</v>
      </c>
      <c r="C64" s="18">
        <f t="shared" ref="C64:K64" si="19">B65</f>
        <v>0</v>
      </c>
      <c r="D64" s="18">
        <f t="shared" si="19"/>
        <v>0</v>
      </c>
      <c r="E64" s="18">
        <f t="shared" si="19"/>
        <v>0</v>
      </c>
      <c r="F64" s="18">
        <f t="shared" si="19"/>
        <v>0</v>
      </c>
      <c r="G64" s="18">
        <f t="shared" si="19"/>
        <v>0</v>
      </c>
      <c r="H64" s="18">
        <f t="shared" si="19"/>
        <v>0</v>
      </c>
      <c r="I64" s="18">
        <f t="shared" si="19"/>
        <v>0</v>
      </c>
      <c r="J64" s="18">
        <f t="shared" si="19"/>
        <v>0</v>
      </c>
      <c r="K64" s="18">
        <f t="shared" si="19"/>
        <v>0</v>
      </c>
    </row>
    <row r="65" spans="1:11" x14ac:dyDescent="0.4">
      <c r="A65" t="s">
        <v>55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</row>
    <row r="66" spans="1:11" x14ac:dyDescent="0.4">
      <c r="A66" t="s">
        <v>56</v>
      </c>
      <c r="B66" s="23">
        <f t="shared" ref="B66:K66" si="20">(B61-B60)+(B63-B62)+(B65-B64)</f>
        <v>0</v>
      </c>
      <c r="C66" s="23">
        <f t="shared" si="20"/>
        <v>0</v>
      </c>
      <c r="D66" s="23">
        <f t="shared" si="20"/>
        <v>0</v>
      </c>
      <c r="E66" s="23">
        <f t="shared" si="20"/>
        <v>0</v>
      </c>
      <c r="F66" s="23">
        <f t="shared" si="20"/>
        <v>0</v>
      </c>
      <c r="G66" s="23">
        <f t="shared" si="20"/>
        <v>0</v>
      </c>
      <c r="H66" s="23">
        <f t="shared" si="20"/>
        <v>0</v>
      </c>
      <c r="I66" s="23">
        <f t="shared" si="20"/>
        <v>0</v>
      </c>
      <c r="J66" s="23">
        <f t="shared" si="20"/>
        <v>0</v>
      </c>
      <c r="K66" s="23">
        <f t="shared" si="20"/>
        <v>0</v>
      </c>
    </row>
    <row r="68" spans="1:11" x14ac:dyDescent="0.4">
      <c r="A68" s="16" t="s">
        <v>57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</row>
    <row r="69" spans="1:11" x14ac:dyDescent="0.4">
      <c r="A69" t="s">
        <v>58</v>
      </c>
      <c r="B69" s="24" t="str">
        <f t="shared" ref="B69:K69" si="21">IF(B43&lt;0,"⚠️ NEGATIVE BASIS","✓ OK")</f>
        <v>✓ OK</v>
      </c>
      <c r="C69" t="str">
        <f t="shared" si="21"/>
        <v>✓ OK</v>
      </c>
      <c r="D69" s="24" t="str">
        <f t="shared" si="21"/>
        <v>✓ OK</v>
      </c>
      <c r="E69" s="24" t="str">
        <f t="shared" si="21"/>
        <v>✓ OK</v>
      </c>
      <c r="F69" s="24" t="str">
        <f t="shared" si="21"/>
        <v>✓ OK</v>
      </c>
      <c r="G69" s="24" t="str">
        <f t="shared" si="21"/>
        <v>✓ OK</v>
      </c>
      <c r="H69" s="24" t="str">
        <f t="shared" si="21"/>
        <v>✓ OK</v>
      </c>
      <c r="I69" s="24" t="str">
        <f t="shared" si="21"/>
        <v>✓ OK</v>
      </c>
      <c r="J69" s="24" t="str">
        <f t="shared" si="21"/>
        <v>✓ OK</v>
      </c>
      <c r="K69" s="24" t="str">
        <f t="shared" si="21"/>
        <v>✓ OK</v>
      </c>
    </row>
    <row r="70" spans="1:11" x14ac:dyDescent="0.4">
      <c r="A70" t="s">
        <v>59</v>
      </c>
      <c r="B70" s="24" t="str">
        <f t="shared" ref="B70:K70" si="22">IF(B50&gt;0,"⚠️ LOSSES SUSPENDED","✓ OK")</f>
        <v>✓ OK</v>
      </c>
      <c r="C70" t="str">
        <f t="shared" si="22"/>
        <v>✓ OK</v>
      </c>
      <c r="D70" s="24" t="str">
        <f t="shared" si="22"/>
        <v>✓ OK</v>
      </c>
      <c r="E70" s="24" t="str">
        <f t="shared" si="22"/>
        <v>✓ OK</v>
      </c>
      <c r="F70" s="24" t="str">
        <f t="shared" si="22"/>
        <v>✓ OK</v>
      </c>
      <c r="G70" s="24" t="str">
        <f t="shared" si="22"/>
        <v>✓ OK</v>
      </c>
      <c r="H70" s="24" t="str">
        <f t="shared" si="22"/>
        <v>✓ OK</v>
      </c>
      <c r="I70" s="24" t="str">
        <f t="shared" si="22"/>
        <v>✓ OK</v>
      </c>
      <c r="J70" s="24" t="str">
        <f t="shared" si="22"/>
        <v>✓ OK</v>
      </c>
      <c r="K70" s="24" t="str">
        <f t="shared" si="22"/>
        <v>✓ OK</v>
      </c>
    </row>
    <row r="71" spans="1:11" x14ac:dyDescent="0.4">
      <c r="A71" t="s">
        <v>60</v>
      </c>
      <c r="B71" s="24" t="str">
        <f t="shared" ref="B71:K71" si="23">IF(B57&gt;0,"⚠️ TAXABLE GAIN","✓ OK")</f>
        <v>✓ OK</v>
      </c>
      <c r="C71" t="str">
        <f t="shared" si="23"/>
        <v>✓ OK</v>
      </c>
      <c r="D71" s="24" t="str">
        <f t="shared" si="23"/>
        <v>✓ OK</v>
      </c>
      <c r="E71" s="24" t="str">
        <f t="shared" si="23"/>
        <v>✓ OK</v>
      </c>
      <c r="F71" s="24" t="str">
        <f t="shared" si="23"/>
        <v>✓ OK</v>
      </c>
      <c r="G71" s="24" t="str">
        <f t="shared" si="23"/>
        <v>✓ OK</v>
      </c>
      <c r="H71" s="24" t="str">
        <f t="shared" si="23"/>
        <v>✓ OK</v>
      </c>
      <c r="I71" s="24" t="str">
        <f t="shared" si="23"/>
        <v>✓ OK</v>
      </c>
      <c r="J71" s="24" t="str">
        <f t="shared" si="23"/>
        <v>✓ OK</v>
      </c>
      <c r="K71" s="24" t="str">
        <f t="shared" si="23"/>
        <v>✓ OK</v>
      </c>
    </row>
    <row r="74" spans="1:11" ht="15" x14ac:dyDescent="0.4">
      <c r="A74" s="57" t="s">
        <v>66</v>
      </c>
      <c r="B74" s="58"/>
      <c r="C74" s="58"/>
      <c r="D74" s="58"/>
      <c r="E74" s="58"/>
      <c r="F74" s="58"/>
      <c r="G74" s="58"/>
      <c r="H74" s="58"/>
      <c r="I74" s="58"/>
      <c r="J74" s="58"/>
      <c r="K74" s="58"/>
    </row>
    <row r="75" spans="1:11" x14ac:dyDescent="0.4">
      <c r="A75" s="1" t="s">
        <v>4</v>
      </c>
      <c r="B75" s="3">
        <f>$B$6</f>
        <v>2021</v>
      </c>
      <c r="C75" s="1">
        <f t="shared" ref="C75:K75" si="24">B75+1</f>
        <v>2022</v>
      </c>
      <c r="D75" s="3">
        <f t="shared" si="24"/>
        <v>2023</v>
      </c>
      <c r="E75" s="3">
        <f t="shared" si="24"/>
        <v>2024</v>
      </c>
      <c r="F75" s="3">
        <f t="shared" si="24"/>
        <v>2025</v>
      </c>
      <c r="G75" s="3">
        <f t="shared" si="24"/>
        <v>2026</v>
      </c>
      <c r="H75" s="3">
        <f t="shared" si="24"/>
        <v>2027</v>
      </c>
      <c r="I75" s="3">
        <f t="shared" si="24"/>
        <v>2028</v>
      </c>
      <c r="J75" s="3">
        <f t="shared" si="24"/>
        <v>2029</v>
      </c>
      <c r="K75" s="3">
        <f t="shared" si="24"/>
        <v>2030</v>
      </c>
    </row>
    <row r="77" spans="1:11" x14ac:dyDescent="0.4">
      <c r="A77" s="5" t="s">
        <v>67</v>
      </c>
      <c r="B77" s="32"/>
      <c r="C77" s="32"/>
      <c r="D77" s="32"/>
      <c r="E77" s="32"/>
      <c r="F77" s="32"/>
      <c r="G77" s="32"/>
      <c r="H77" s="32"/>
      <c r="I77" s="32"/>
      <c r="J77" s="32"/>
      <c r="K77" s="32"/>
    </row>
    <row r="78" spans="1:11" x14ac:dyDescent="0.4">
      <c r="A78" s="1" t="s">
        <v>68</v>
      </c>
      <c r="B78" s="33">
        <f t="shared" ref="B78:K78" si="25">B44</f>
        <v>1932344</v>
      </c>
      <c r="C78" s="33">
        <f t="shared" si="25"/>
        <v>1684727</v>
      </c>
      <c r="D78" s="33">
        <f t="shared" si="25"/>
        <v>1376978</v>
      </c>
      <c r="E78" s="33">
        <f t="shared" si="25"/>
        <v>1144214</v>
      </c>
      <c r="F78" s="33">
        <f t="shared" si="25"/>
        <v>695823</v>
      </c>
      <c r="G78" s="33">
        <f t="shared" si="25"/>
        <v>695823</v>
      </c>
      <c r="H78" s="33">
        <f t="shared" si="25"/>
        <v>695823</v>
      </c>
      <c r="I78" s="33">
        <f t="shared" si="25"/>
        <v>695823</v>
      </c>
      <c r="J78" s="33">
        <f t="shared" si="25"/>
        <v>695823</v>
      </c>
      <c r="K78" s="33">
        <f t="shared" si="25"/>
        <v>695823</v>
      </c>
    </row>
    <row r="79" spans="1:11" x14ac:dyDescent="0.4">
      <c r="A79" s="5" t="s">
        <v>69</v>
      </c>
      <c r="B79" s="34">
        <f t="shared" ref="B79:K79" si="26">B77-B78</f>
        <v>-1932344</v>
      </c>
      <c r="C79" s="34">
        <f t="shared" si="26"/>
        <v>-1684727</v>
      </c>
      <c r="D79" s="34">
        <f t="shared" si="26"/>
        <v>-1376978</v>
      </c>
      <c r="E79" s="34">
        <f t="shared" si="26"/>
        <v>-1144214</v>
      </c>
      <c r="F79" s="34">
        <f t="shared" si="26"/>
        <v>-695823</v>
      </c>
      <c r="G79" s="34">
        <f t="shared" si="26"/>
        <v>-695823</v>
      </c>
      <c r="H79" s="34">
        <f t="shared" si="26"/>
        <v>-695823</v>
      </c>
      <c r="I79" s="34">
        <f t="shared" si="26"/>
        <v>-695823</v>
      </c>
      <c r="J79" s="34">
        <f t="shared" si="26"/>
        <v>-695823</v>
      </c>
      <c r="K79" s="34">
        <f t="shared" si="26"/>
        <v>-695823</v>
      </c>
    </row>
    <row r="81" spans="1:11" x14ac:dyDescent="0.4">
      <c r="A81" s="59" t="s">
        <v>70</v>
      </c>
      <c r="B81" s="58"/>
      <c r="C81" s="58"/>
      <c r="D81" s="58"/>
      <c r="E81" s="58"/>
      <c r="F81" s="58"/>
      <c r="G81" s="58"/>
      <c r="H81" s="58"/>
      <c r="I81" s="58"/>
      <c r="J81" s="58"/>
      <c r="K81" s="58"/>
    </row>
    <row r="82" spans="1:11" x14ac:dyDescent="0.4">
      <c r="A82" s="26" t="s">
        <v>71</v>
      </c>
    </row>
    <row r="84" spans="1:11" x14ac:dyDescent="0.4">
      <c r="A84" s="14" t="s">
        <v>72</v>
      </c>
    </row>
    <row r="85" spans="1:11" x14ac:dyDescent="0.4">
      <c r="A85" t="s">
        <v>73</v>
      </c>
      <c r="B85" s="32"/>
      <c r="C85" s="32"/>
      <c r="D85" s="32"/>
      <c r="E85" s="32"/>
      <c r="F85" s="32"/>
      <c r="G85" s="32"/>
      <c r="H85" s="32"/>
      <c r="I85" s="32"/>
      <c r="J85" s="32"/>
      <c r="K85" s="32"/>
    </row>
    <row r="86" spans="1:11" x14ac:dyDescent="0.4">
      <c r="A86" t="s">
        <v>74</v>
      </c>
      <c r="B86" s="33">
        <f t="shared" ref="B86:K86" si="27">B18</f>
        <v>0</v>
      </c>
      <c r="C86" s="33">
        <f t="shared" si="27"/>
        <v>1996</v>
      </c>
      <c r="D86" s="33">
        <f t="shared" si="27"/>
        <v>12354</v>
      </c>
      <c r="E86" s="33">
        <f t="shared" si="27"/>
        <v>13816</v>
      </c>
      <c r="F86" s="33">
        <f t="shared" si="27"/>
        <v>7469</v>
      </c>
      <c r="G86" s="33">
        <f t="shared" si="27"/>
        <v>0</v>
      </c>
      <c r="H86" s="33">
        <f t="shared" si="27"/>
        <v>0</v>
      </c>
      <c r="I86" s="33">
        <f t="shared" si="27"/>
        <v>0</v>
      </c>
      <c r="J86" s="33">
        <f t="shared" si="27"/>
        <v>0</v>
      </c>
      <c r="K86" s="33">
        <f t="shared" si="27"/>
        <v>0</v>
      </c>
    </row>
    <row r="87" spans="1:11" x14ac:dyDescent="0.4">
      <c r="A87" s="1" t="s">
        <v>75</v>
      </c>
      <c r="B87" s="35">
        <f t="shared" ref="B87:K87" si="28">B86-B85</f>
        <v>0</v>
      </c>
      <c r="C87" s="35">
        <f t="shared" si="28"/>
        <v>1996</v>
      </c>
      <c r="D87" s="35">
        <f t="shared" si="28"/>
        <v>12354</v>
      </c>
      <c r="E87" s="35">
        <f t="shared" si="28"/>
        <v>13816</v>
      </c>
      <c r="F87" s="35">
        <f t="shared" si="28"/>
        <v>7469</v>
      </c>
      <c r="G87" s="35">
        <f t="shared" si="28"/>
        <v>0</v>
      </c>
      <c r="H87" s="35">
        <f t="shared" si="28"/>
        <v>0</v>
      </c>
      <c r="I87" s="35">
        <f t="shared" si="28"/>
        <v>0</v>
      </c>
      <c r="J87" s="35">
        <f t="shared" si="28"/>
        <v>0</v>
      </c>
      <c r="K87" s="35">
        <f t="shared" si="28"/>
        <v>0</v>
      </c>
    </row>
    <row r="88" spans="1:11" x14ac:dyDescent="0.4">
      <c r="B88" s="33"/>
      <c r="C88" s="33"/>
      <c r="D88" s="33"/>
      <c r="E88" s="33"/>
      <c r="F88" s="33"/>
      <c r="G88" s="33"/>
      <c r="H88" s="33"/>
      <c r="I88" s="33"/>
      <c r="J88" s="33"/>
      <c r="K88" s="33"/>
    </row>
    <row r="89" spans="1:11" x14ac:dyDescent="0.4">
      <c r="A89" s="14" t="s">
        <v>76</v>
      </c>
      <c r="B89" s="33"/>
      <c r="C89" s="33"/>
      <c r="D89" s="33"/>
      <c r="E89" s="33"/>
      <c r="F89" s="33"/>
      <c r="G89" s="33"/>
      <c r="H89" s="33"/>
      <c r="I89" s="33"/>
      <c r="J89" s="33"/>
      <c r="K89" s="33"/>
    </row>
    <row r="90" spans="1:11" x14ac:dyDescent="0.4">
      <c r="A90" t="s">
        <v>77</v>
      </c>
      <c r="B90" s="32"/>
      <c r="C90" s="32"/>
      <c r="D90" s="32"/>
      <c r="E90" s="32"/>
      <c r="F90" s="32"/>
      <c r="G90" s="32"/>
      <c r="H90" s="32"/>
      <c r="I90" s="32"/>
      <c r="J90" s="32"/>
      <c r="K90" s="32"/>
    </row>
    <row r="91" spans="1:11" x14ac:dyDescent="0.4">
      <c r="A91" t="s">
        <v>78</v>
      </c>
      <c r="B91" s="33">
        <f t="shared" ref="B91:K91" si="29">B19</f>
        <v>0</v>
      </c>
      <c r="C91" s="33">
        <f t="shared" si="29"/>
        <v>0</v>
      </c>
      <c r="D91" s="33">
        <f t="shared" si="29"/>
        <v>0</v>
      </c>
      <c r="E91" s="33">
        <f t="shared" si="29"/>
        <v>0</v>
      </c>
      <c r="F91" s="33">
        <f t="shared" si="29"/>
        <v>0</v>
      </c>
      <c r="G91" s="33">
        <f t="shared" si="29"/>
        <v>0</v>
      </c>
      <c r="H91" s="33">
        <f t="shared" si="29"/>
        <v>0</v>
      </c>
      <c r="I91" s="33">
        <f t="shared" si="29"/>
        <v>0</v>
      </c>
      <c r="J91" s="33">
        <f t="shared" si="29"/>
        <v>0</v>
      </c>
      <c r="K91" s="33">
        <f t="shared" si="29"/>
        <v>0</v>
      </c>
    </row>
    <row r="92" spans="1:11" x14ac:dyDescent="0.4">
      <c r="A92" s="1" t="s">
        <v>79</v>
      </c>
      <c r="B92" s="35">
        <f t="shared" ref="B92:K92" si="30">B91-B90</f>
        <v>0</v>
      </c>
      <c r="C92" s="35">
        <f t="shared" si="30"/>
        <v>0</v>
      </c>
      <c r="D92" s="35">
        <f t="shared" si="30"/>
        <v>0</v>
      </c>
      <c r="E92" s="35">
        <f t="shared" si="30"/>
        <v>0</v>
      </c>
      <c r="F92" s="35">
        <f t="shared" si="30"/>
        <v>0</v>
      </c>
      <c r="G92" s="35">
        <f t="shared" si="30"/>
        <v>0</v>
      </c>
      <c r="H92" s="35">
        <f t="shared" si="30"/>
        <v>0</v>
      </c>
      <c r="I92" s="35">
        <f t="shared" si="30"/>
        <v>0</v>
      </c>
      <c r="J92" s="35">
        <f t="shared" si="30"/>
        <v>0</v>
      </c>
      <c r="K92" s="35">
        <f t="shared" si="30"/>
        <v>0</v>
      </c>
    </row>
    <row r="93" spans="1:11" x14ac:dyDescent="0.4">
      <c r="B93" s="33"/>
      <c r="C93" s="33"/>
      <c r="D93" s="33"/>
      <c r="E93" s="33"/>
      <c r="F93" s="33"/>
      <c r="G93" s="33"/>
      <c r="H93" s="33"/>
      <c r="I93" s="33"/>
      <c r="J93" s="33"/>
      <c r="K93" s="33"/>
    </row>
    <row r="94" spans="1:11" x14ac:dyDescent="0.4">
      <c r="A94" s="14" t="s">
        <v>80</v>
      </c>
      <c r="B94" s="33"/>
      <c r="C94" s="33"/>
      <c r="D94" s="33"/>
      <c r="E94" s="33"/>
      <c r="F94" s="33"/>
      <c r="G94" s="33"/>
      <c r="H94" s="33"/>
      <c r="I94" s="33"/>
      <c r="J94" s="33"/>
      <c r="K94" s="33"/>
    </row>
    <row r="95" spans="1:11" x14ac:dyDescent="0.4">
      <c r="A95" t="s">
        <v>81</v>
      </c>
      <c r="B95" s="32"/>
      <c r="C95" s="32"/>
      <c r="D95" s="32"/>
      <c r="E95" s="32"/>
      <c r="F95" s="32"/>
      <c r="G95" s="32"/>
      <c r="H95" s="32"/>
      <c r="I95" s="32"/>
      <c r="J95" s="32"/>
      <c r="K95" s="32"/>
    </row>
    <row r="96" spans="1:11" x14ac:dyDescent="0.4">
      <c r="A96" t="s">
        <v>82</v>
      </c>
      <c r="B96" s="33">
        <f t="shared" ref="B96:K96" si="31">B21-B33</f>
        <v>0</v>
      </c>
      <c r="C96" s="33">
        <f t="shared" si="31"/>
        <v>0</v>
      </c>
      <c r="D96" s="33">
        <f t="shared" si="31"/>
        <v>0</v>
      </c>
      <c r="E96" s="33">
        <f t="shared" si="31"/>
        <v>0</v>
      </c>
      <c r="F96" s="33">
        <f t="shared" si="31"/>
        <v>0</v>
      </c>
      <c r="G96" s="33">
        <f t="shared" si="31"/>
        <v>0</v>
      </c>
      <c r="H96" s="33">
        <f t="shared" si="31"/>
        <v>0</v>
      </c>
      <c r="I96" s="33">
        <f t="shared" si="31"/>
        <v>0</v>
      </c>
      <c r="J96" s="33">
        <f t="shared" si="31"/>
        <v>0</v>
      </c>
      <c r="K96" s="33">
        <f t="shared" si="31"/>
        <v>0</v>
      </c>
    </row>
    <row r="97" spans="1:11" x14ac:dyDescent="0.4">
      <c r="A97" t="s">
        <v>83</v>
      </c>
      <c r="B97" s="33">
        <f t="shared" ref="B97:K97" si="32">B22-B34</f>
        <v>0</v>
      </c>
      <c r="C97" s="33">
        <f t="shared" si="32"/>
        <v>0</v>
      </c>
      <c r="D97" s="33">
        <f t="shared" si="32"/>
        <v>0</v>
      </c>
      <c r="E97" s="33">
        <f t="shared" si="32"/>
        <v>0</v>
      </c>
      <c r="F97" s="33">
        <f t="shared" si="32"/>
        <v>0</v>
      </c>
      <c r="G97" s="33">
        <f t="shared" si="32"/>
        <v>0</v>
      </c>
      <c r="H97" s="33">
        <f t="shared" si="32"/>
        <v>0</v>
      </c>
      <c r="I97" s="33">
        <f t="shared" si="32"/>
        <v>0</v>
      </c>
      <c r="J97" s="33">
        <f t="shared" si="32"/>
        <v>0</v>
      </c>
      <c r="K97" s="33">
        <f t="shared" si="32"/>
        <v>0</v>
      </c>
    </row>
    <row r="98" spans="1:11" x14ac:dyDescent="0.4">
      <c r="A98" t="s">
        <v>84</v>
      </c>
      <c r="B98" s="33">
        <f t="shared" ref="B98:K98" si="33">B23-B35</f>
        <v>0</v>
      </c>
      <c r="C98" s="33">
        <f t="shared" si="33"/>
        <v>0</v>
      </c>
      <c r="D98" s="33">
        <f t="shared" si="33"/>
        <v>-14970</v>
      </c>
      <c r="E98" s="33">
        <f t="shared" si="33"/>
        <v>-8777</v>
      </c>
      <c r="F98" s="33">
        <f t="shared" si="33"/>
        <v>-22899</v>
      </c>
      <c r="G98" s="33">
        <f t="shared" si="33"/>
        <v>0</v>
      </c>
      <c r="H98" s="33">
        <f t="shared" si="33"/>
        <v>0</v>
      </c>
      <c r="I98" s="33">
        <f t="shared" si="33"/>
        <v>0</v>
      </c>
      <c r="J98" s="33">
        <f t="shared" si="33"/>
        <v>0</v>
      </c>
      <c r="K98" s="33">
        <f t="shared" si="33"/>
        <v>0</v>
      </c>
    </row>
    <row r="99" spans="1:11" x14ac:dyDescent="0.4">
      <c r="A99" t="s">
        <v>85</v>
      </c>
      <c r="B99" s="33">
        <f t="shared" ref="B99:K99" si="34">B96+B97+B98</f>
        <v>0</v>
      </c>
      <c r="C99" s="33">
        <f t="shared" si="34"/>
        <v>0</v>
      </c>
      <c r="D99" s="33">
        <f t="shared" si="34"/>
        <v>-14970</v>
      </c>
      <c r="E99" s="33">
        <f t="shared" si="34"/>
        <v>-8777</v>
      </c>
      <c r="F99" s="33">
        <f t="shared" si="34"/>
        <v>-22899</v>
      </c>
      <c r="G99" s="33">
        <f t="shared" si="34"/>
        <v>0</v>
      </c>
      <c r="H99" s="33">
        <f t="shared" si="34"/>
        <v>0</v>
      </c>
      <c r="I99" s="33">
        <f t="shared" si="34"/>
        <v>0</v>
      </c>
      <c r="J99" s="33">
        <f t="shared" si="34"/>
        <v>0</v>
      </c>
      <c r="K99" s="33">
        <f t="shared" si="34"/>
        <v>0</v>
      </c>
    </row>
    <row r="100" spans="1:11" x14ac:dyDescent="0.4">
      <c r="A100" s="1" t="s">
        <v>86</v>
      </c>
      <c r="B100" s="35">
        <f t="shared" ref="B100:K100" si="35">B99-B95</f>
        <v>0</v>
      </c>
      <c r="C100" s="35">
        <f t="shared" si="35"/>
        <v>0</v>
      </c>
      <c r="D100" s="35">
        <f t="shared" si="35"/>
        <v>-14970</v>
      </c>
      <c r="E100" s="35">
        <f t="shared" si="35"/>
        <v>-8777</v>
      </c>
      <c r="F100" s="35">
        <f t="shared" si="35"/>
        <v>-22899</v>
      </c>
      <c r="G100" s="35">
        <f t="shared" si="35"/>
        <v>0</v>
      </c>
      <c r="H100" s="35">
        <f t="shared" si="35"/>
        <v>0</v>
      </c>
      <c r="I100" s="35">
        <f t="shared" si="35"/>
        <v>0</v>
      </c>
      <c r="J100" s="35">
        <f t="shared" si="35"/>
        <v>0</v>
      </c>
      <c r="K100" s="35">
        <f t="shared" si="35"/>
        <v>0</v>
      </c>
    </row>
    <row r="101" spans="1:11" x14ac:dyDescent="0.4">
      <c r="B101" s="33"/>
      <c r="C101" s="33"/>
      <c r="D101" s="33"/>
      <c r="E101" s="33"/>
      <c r="F101" s="33"/>
      <c r="G101" s="33"/>
      <c r="H101" s="33"/>
      <c r="I101" s="33"/>
      <c r="J101" s="33"/>
      <c r="K101" s="33"/>
    </row>
    <row r="102" spans="1:11" x14ac:dyDescent="0.4">
      <c r="A102" s="31" t="s">
        <v>87</v>
      </c>
      <c r="B102" s="33"/>
      <c r="C102" s="33"/>
      <c r="D102" s="33"/>
      <c r="E102" s="33"/>
      <c r="F102" s="33"/>
      <c r="G102" s="33"/>
      <c r="H102" s="33"/>
      <c r="I102" s="33"/>
      <c r="J102" s="33"/>
      <c r="K102" s="33"/>
    </row>
    <row r="103" spans="1:11" x14ac:dyDescent="0.4">
      <c r="A103" t="s">
        <v>88</v>
      </c>
      <c r="B103" s="33">
        <f t="shared" ref="B103:K103" si="36">B14-B30</f>
        <v>-1067656</v>
      </c>
      <c r="C103" s="33">
        <f t="shared" si="36"/>
        <v>-57343</v>
      </c>
      <c r="D103" s="33">
        <f t="shared" si="36"/>
        <v>-31513</v>
      </c>
      <c r="E103" s="33">
        <f t="shared" si="36"/>
        <v>9038</v>
      </c>
      <c r="F103" s="33">
        <f t="shared" si="36"/>
        <v>-173653</v>
      </c>
      <c r="G103" s="33">
        <f t="shared" si="36"/>
        <v>0</v>
      </c>
      <c r="H103" s="33">
        <f t="shared" si="36"/>
        <v>0</v>
      </c>
      <c r="I103" s="33">
        <f t="shared" si="36"/>
        <v>0</v>
      </c>
      <c r="J103" s="33">
        <f t="shared" si="36"/>
        <v>0</v>
      </c>
      <c r="K103" s="33">
        <f t="shared" si="36"/>
        <v>0</v>
      </c>
    </row>
    <row r="104" spans="1:11" x14ac:dyDescent="0.4">
      <c r="A104" t="s">
        <v>89</v>
      </c>
      <c r="B104" s="33">
        <f t="shared" ref="B104:K104" si="37">(B15+B16)-(B31+B32)</f>
        <v>0</v>
      </c>
      <c r="C104" s="33">
        <f t="shared" si="37"/>
        <v>0</v>
      </c>
      <c r="D104" s="33">
        <f t="shared" si="37"/>
        <v>0</v>
      </c>
      <c r="E104" s="33">
        <f t="shared" si="37"/>
        <v>0</v>
      </c>
      <c r="F104" s="33">
        <f t="shared" si="37"/>
        <v>0</v>
      </c>
      <c r="G104" s="33">
        <f t="shared" si="37"/>
        <v>0</v>
      </c>
      <c r="H104" s="33">
        <f t="shared" si="37"/>
        <v>0</v>
      </c>
      <c r="I104" s="33">
        <f t="shared" si="37"/>
        <v>0</v>
      </c>
      <c r="J104" s="33">
        <f t="shared" si="37"/>
        <v>0</v>
      </c>
      <c r="K104" s="33">
        <f t="shared" si="37"/>
        <v>0</v>
      </c>
    </row>
    <row r="105" spans="1:11" x14ac:dyDescent="0.4">
      <c r="A105" t="s">
        <v>90</v>
      </c>
      <c r="B105" s="33">
        <f t="shared" ref="B105:K105" si="38">B17</f>
        <v>0</v>
      </c>
      <c r="C105" s="33">
        <f t="shared" si="38"/>
        <v>0</v>
      </c>
      <c r="D105" s="33">
        <f t="shared" si="38"/>
        <v>0</v>
      </c>
      <c r="E105" s="33">
        <f t="shared" si="38"/>
        <v>0</v>
      </c>
      <c r="F105" s="33">
        <f t="shared" si="38"/>
        <v>0</v>
      </c>
      <c r="G105" s="33">
        <f t="shared" si="38"/>
        <v>0</v>
      </c>
      <c r="H105" s="33">
        <f t="shared" si="38"/>
        <v>0</v>
      </c>
      <c r="I105" s="33">
        <f t="shared" si="38"/>
        <v>0</v>
      </c>
      <c r="J105" s="33">
        <f t="shared" si="38"/>
        <v>0</v>
      </c>
      <c r="K105" s="33">
        <f t="shared" si="38"/>
        <v>0</v>
      </c>
    </row>
    <row r="106" spans="1:11" x14ac:dyDescent="0.4">
      <c r="A106" t="s">
        <v>91</v>
      </c>
      <c r="B106" s="33">
        <f t="shared" ref="B106:K106" si="39">B20</f>
        <v>0</v>
      </c>
      <c r="C106" s="33">
        <f t="shared" si="39"/>
        <v>0</v>
      </c>
      <c r="D106" s="33">
        <f t="shared" si="39"/>
        <v>0</v>
      </c>
      <c r="E106" s="33">
        <f t="shared" si="39"/>
        <v>0</v>
      </c>
      <c r="F106" s="33">
        <f t="shared" si="39"/>
        <v>0</v>
      </c>
      <c r="G106" s="33">
        <f t="shared" si="39"/>
        <v>0</v>
      </c>
      <c r="H106" s="33">
        <f t="shared" si="39"/>
        <v>0</v>
      </c>
      <c r="I106" s="33">
        <f t="shared" si="39"/>
        <v>0</v>
      </c>
      <c r="J106" s="33">
        <f t="shared" si="39"/>
        <v>0</v>
      </c>
      <c r="K106" s="33">
        <f t="shared" si="39"/>
        <v>0</v>
      </c>
    </row>
    <row r="107" spans="1:11" x14ac:dyDescent="0.4">
      <c r="A107" t="s">
        <v>92</v>
      </c>
      <c r="B107" s="33">
        <f t="shared" ref="B107:K107" si="40">B24</f>
        <v>0</v>
      </c>
      <c r="C107" s="33">
        <f t="shared" si="40"/>
        <v>0</v>
      </c>
      <c r="D107" s="33">
        <f t="shared" si="40"/>
        <v>0</v>
      </c>
      <c r="E107" s="33">
        <f t="shared" si="40"/>
        <v>0</v>
      </c>
      <c r="F107" s="33">
        <f t="shared" si="40"/>
        <v>0</v>
      </c>
      <c r="G107" s="33">
        <f t="shared" si="40"/>
        <v>0</v>
      </c>
      <c r="H107" s="33">
        <f t="shared" si="40"/>
        <v>0</v>
      </c>
      <c r="I107" s="33">
        <f t="shared" si="40"/>
        <v>0</v>
      </c>
      <c r="J107" s="33">
        <f t="shared" si="40"/>
        <v>0</v>
      </c>
      <c r="K107" s="33">
        <f t="shared" si="40"/>
        <v>0</v>
      </c>
    </row>
    <row r="108" spans="1:11" x14ac:dyDescent="0.4">
      <c r="A108" t="s">
        <v>93</v>
      </c>
      <c r="B108" s="33">
        <f t="shared" ref="B108:K108" si="41">-B36</f>
        <v>0</v>
      </c>
      <c r="C108" s="33">
        <f t="shared" si="41"/>
        <v>0</v>
      </c>
      <c r="D108" s="33">
        <f t="shared" si="41"/>
        <v>0</v>
      </c>
      <c r="E108" s="33">
        <f t="shared" si="41"/>
        <v>0</v>
      </c>
      <c r="F108" s="33">
        <f t="shared" si="41"/>
        <v>0</v>
      </c>
      <c r="G108" s="33">
        <f t="shared" si="41"/>
        <v>0</v>
      </c>
      <c r="H108" s="33">
        <f t="shared" si="41"/>
        <v>0</v>
      </c>
      <c r="I108" s="33">
        <f t="shared" si="41"/>
        <v>0</v>
      </c>
      <c r="J108" s="33">
        <f t="shared" si="41"/>
        <v>0</v>
      </c>
      <c r="K108" s="33">
        <f t="shared" si="41"/>
        <v>0</v>
      </c>
    </row>
    <row r="109" spans="1:11" x14ac:dyDescent="0.4">
      <c r="A109" t="s">
        <v>94</v>
      </c>
      <c r="B109" s="33">
        <f t="shared" ref="B109:K109" si="42">-B37</f>
        <v>0</v>
      </c>
      <c r="C109" s="33">
        <f t="shared" si="42"/>
        <v>-855</v>
      </c>
      <c r="D109" s="33">
        <f t="shared" si="42"/>
        <v>-362</v>
      </c>
      <c r="E109" s="33">
        <f t="shared" si="42"/>
        <v>-1517</v>
      </c>
      <c r="F109" s="33">
        <f t="shared" si="42"/>
        <v>-3226</v>
      </c>
      <c r="G109" s="33">
        <f t="shared" si="42"/>
        <v>0</v>
      </c>
      <c r="H109" s="33">
        <f t="shared" si="42"/>
        <v>0</v>
      </c>
      <c r="I109" s="33">
        <f t="shared" si="42"/>
        <v>0</v>
      </c>
      <c r="J109" s="33">
        <f t="shared" si="42"/>
        <v>0</v>
      </c>
      <c r="K109" s="33">
        <f t="shared" si="42"/>
        <v>0</v>
      </c>
    </row>
    <row r="110" spans="1:11" x14ac:dyDescent="0.4">
      <c r="A110" t="s">
        <v>95</v>
      </c>
      <c r="B110" s="33">
        <f t="shared" ref="B110:K110" si="43">-B38</f>
        <v>0</v>
      </c>
      <c r="C110" s="33">
        <f t="shared" si="43"/>
        <v>-642</v>
      </c>
      <c r="D110" s="33">
        <f t="shared" si="43"/>
        <v>-181</v>
      </c>
      <c r="E110" s="33">
        <f t="shared" si="43"/>
        <v>-261</v>
      </c>
      <c r="F110" s="33">
        <f t="shared" si="43"/>
        <v>-296</v>
      </c>
      <c r="G110" s="33">
        <f t="shared" si="43"/>
        <v>0</v>
      </c>
      <c r="H110" s="33">
        <f t="shared" si="43"/>
        <v>0</v>
      </c>
      <c r="I110" s="33">
        <f t="shared" si="43"/>
        <v>0</v>
      </c>
      <c r="J110" s="33">
        <f t="shared" si="43"/>
        <v>0</v>
      </c>
      <c r="K110" s="33">
        <f t="shared" si="43"/>
        <v>0</v>
      </c>
    </row>
    <row r="111" spans="1:11" x14ac:dyDescent="0.4">
      <c r="A111" t="s">
        <v>96</v>
      </c>
      <c r="B111" s="33">
        <f t="shared" ref="B111:K111" si="44">B25</f>
        <v>0</v>
      </c>
      <c r="C111" s="33">
        <f t="shared" si="44"/>
        <v>0</v>
      </c>
      <c r="D111" s="33">
        <f t="shared" si="44"/>
        <v>0</v>
      </c>
      <c r="E111" s="33">
        <f t="shared" si="44"/>
        <v>0</v>
      </c>
      <c r="F111" s="33">
        <f t="shared" si="44"/>
        <v>0</v>
      </c>
      <c r="G111" s="33">
        <f t="shared" si="44"/>
        <v>0</v>
      </c>
      <c r="H111" s="33">
        <f t="shared" si="44"/>
        <v>0</v>
      </c>
      <c r="I111" s="33">
        <f t="shared" si="44"/>
        <v>0</v>
      </c>
      <c r="J111" s="33">
        <f t="shared" si="44"/>
        <v>0</v>
      </c>
      <c r="K111" s="33">
        <f t="shared" si="44"/>
        <v>0</v>
      </c>
    </row>
    <row r="112" spans="1:11" x14ac:dyDescent="0.4">
      <c r="A112" t="s">
        <v>97</v>
      </c>
      <c r="B112" s="32"/>
      <c r="C112" s="32"/>
      <c r="D112" s="32"/>
      <c r="E112" s="32"/>
      <c r="F112" s="32"/>
      <c r="G112" s="32"/>
      <c r="H112" s="32"/>
      <c r="I112" s="32"/>
      <c r="J112" s="32"/>
      <c r="K112" s="32"/>
    </row>
    <row r="113" spans="1:11" x14ac:dyDescent="0.4">
      <c r="A113" t="s">
        <v>98</v>
      </c>
      <c r="B113" s="33">
        <f t="shared" ref="B113:K113" si="45">SUM(B103:B111)</f>
        <v>-1067656</v>
      </c>
      <c r="C113" s="33">
        <f t="shared" si="45"/>
        <v>-58840</v>
      </c>
      <c r="D113" s="33">
        <f t="shared" si="45"/>
        <v>-32056</v>
      </c>
      <c r="E113" s="33">
        <f t="shared" si="45"/>
        <v>7260</v>
      </c>
      <c r="F113" s="33">
        <f t="shared" si="45"/>
        <v>-177175</v>
      </c>
      <c r="G113" s="33">
        <f t="shared" si="45"/>
        <v>0</v>
      </c>
      <c r="H113" s="33">
        <f t="shared" si="45"/>
        <v>0</v>
      </c>
      <c r="I113" s="33">
        <f t="shared" si="45"/>
        <v>0</v>
      </c>
      <c r="J113" s="33">
        <f t="shared" si="45"/>
        <v>0</v>
      </c>
      <c r="K113" s="33">
        <f t="shared" si="45"/>
        <v>0</v>
      </c>
    </row>
    <row r="114" spans="1:11" x14ac:dyDescent="0.4">
      <c r="A114" s="1" t="s">
        <v>99</v>
      </c>
      <c r="B114" s="36">
        <f t="shared" ref="B114:K114" si="46">B113-B112</f>
        <v>-1067656</v>
      </c>
      <c r="C114" s="36">
        <f t="shared" si="46"/>
        <v>-58840</v>
      </c>
      <c r="D114" s="36">
        <f t="shared" si="46"/>
        <v>-32056</v>
      </c>
      <c r="E114" s="36">
        <f t="shared" si="46"/>
        <v>7260</v>
      </c>
      <c r="F114" s="36">
        <f t="shared" si="46"/>
        <v>-177175</v>
      </c>
      <c r="G114" s="36">
        <f t="shared" si="46"/>
        <v>0</v>
      </c>
      <c r="H114" s="36">
        <f t="shared" si="46"/>
        <v>0</v>
      </c>
      <c r="I114" s="36">
        <f t="shared" si="46"/>
        <v>0</v>
      </c>
      <c r="J114" s="36">
        <f t="shared" si="46"/>
        <v>0</v>
      </c>
      <c r="K114" s="36">
        <f t="shared" si="46"/>
        <v>0</v>
      </c>
    </row>
    <row r="115" spans="1:11" x14ac:dyDescent="0.4">
      <c r="B115" s="33"/>
      <c r="C115" s="33"/>
      <c r="D115" s="33"/>
      <c r="E115" s="33"/>
      <c r="F115" s="33"/>
      <c r="G115" s="33"/>
      <c r="H115" s="33"/>
      <c r="I115" s="33"/>
      <c r="J115" s="33"/>
      <c r="K115" s="33"/>
    </row>
    <row r="116" spans="1:11" x14ac:dyDescent="0.4">
      <c r="A116" s="25" t="s">
        <v>100</v>
      </c>
      <c r="B116" s="33"/>
      <c r="C116" s="33"/>
      <c r="D116" s="33"/>
      <c r="E116" s="33"/>
      <c r="F116" s="33"/>
      <c r="G116" s="33"/>
      <c r="H116" s="33"/>
      <c r="I116" s="33"/>
      <c r="J116" s="33"/>
      <c r="K116" s="33"/>
    </row>
    <row r="117" spans="1:11" x14ac:dyDescent="0.4">
      <c r="A117" s="1" t="s">
        <v>101</v>
      </c>
      <c r="B117" s="37">
        <f t="shared" ref="B117:K117" si="47">-(B87+B92+B100+B114)</f>
        <v>1067656</v>
      </c>
      <c r="C117" s="37">
        <f t="shared" si="47"/>
        <v>56844</v>
      </c>
      <c r="D117" s="37">
        <f t="shared" si="47"/>
        <v>34672</v>
      </c>
      <c r="E117" s="37">
        <f t="shared" si="47"/>
        <v>-12299</v>
      </c>
      <c r="F117" s="37">
        <f t="shared" si="47"/>
        <v>192605</v>
      </c>
      <c r="G117" s="37">
        <f t="shared" si="47"/>
        <v>0</v>
      </c>
      <c r="H117" s="37">
        <f t="shared" si="47"/>
        <v>0</v>
      </c>
      <c r="I117" s="37">
        <f t="shared" si="47"/>
        <v>0</v>
      </c>
      <c r="J117" s="37">
        <f t="shared" si="47"/>
        <v>0</v>
      </c>
      <c r="K117" s="37">
        <f t="shared" si="47"/>
        <v>0</v>
      </c>
    </row>
    <row r="119" spans="1:11" x14ac:dyDescent="0.4">
      <c r="A119" s="60" t="s">
        <v>102</v>
      </c>
      <c r="B119" s="58"/>
      <c r="C119" s="58"/>
      <c r="D119" s="58"/>
      <c r="E119" s="58"/>
      <c r="F119" s="58"/>
      <c r="G119" s="58"/>
      <c r="H119" s="58"/>
      <c r="I119" s="58"/>
      <c r="J119" s="58"/>
      <c r="K119" s="58"/>
    </row>
    <row r="120" spans="1:11" x14ac:dyDescent="0.4">
      <c r="A120" s="38" t="s">
        <v>103</v>
      </c>
      <c r="B120" s="39">
        <f>$B$6</f>
        <v>2021</v>
      </c>
      <c r="C120" s="39">
        <f t="shared" ref="C120:K120" si="48">B120+1</f>
        <v>2022</v>
      </c>
      <c r="D120" s="39">
        <f t="shared" si="48"/>
        <v>2023</v>
      </c>
      <c r="E120" s="39">
        <f t="shared" si="48"/>
        <v>2024</v>
      </c>
      <c r="F120" s="39">
        <f t="shared" si="48"/>
        <v>2025</v>
      </c>
      <c r="G120" s="39">
        <f t="shared" si="48"/>
        <v>2026</v>
      </c>
      <c r="H120" s="39">
        <f t="shared" si="48"/>
        <v>2027</v>
      </c>
      <c r="I120" s="39">
        <f t="shared" si="48"/>
        <v>2028</v>
      </c>
      <c r="J120" s="39">
        <f t="shared" si="48"/>
        <v>2029</v>
      </c>
      <c r="K120" s="39">
        <f t="shared" si="48"/>
        <v>2030</v>
      </c>
    </row>
    <row r="121" spans="1:11" x14ac:dyDescent="0.4">
      <c r="A121" s="40" t="s">
        <v>104</v>
      </c>
      <c r="B121" s="41">
        <f t="shared" ref="B121:K121" si="49">B87</f>
        <v>0</v>
      </c>
      <c r="C121" s="41">
        <f t="shared" si="49"/>
        <v>1996</v>
      </c>
      <c r="D121" s="41">
        <f t="shared" si="49"/>
        <v>12354</v>
      </c>
      <c r="E121" s="41">
        <f t="shared" si="49"/>
        <v>13816</v>
      </c>
      <c r="F121" s="41">
        <f t="shared" si="49"/>
        <v>7469</v>
      </c>
      <c r="G121" s="41">
        <f t="shared" si="49"/>
        <v>0</v>
      </c>
      <c r="H121" s="41">
        <f t="shared" si="49"/>
        <v>0</v>
      </c>
      <c r="I121" s="41">
        <f t="shared" si="49"/>
        <v>0</v>
      </c>
      <c r="J121" s="41">
        <f t="shared" si="49"/>
        <v>0</v>
      </c>
      <c r="K121" s="41">
        <f t="shared" si="49"/>
        <v>0</v>
      </c>
    </row>
    <row r="122" spans="1:11" x14ac:dyDescent="0.4">
      <c r="A122" s="40" t="s">
        <v>105</v>
      </c>
      <c r="B122" s="41">
        <f t="shared" ref="B122:K122" si="50">B92</f>
        <v>0</v>
      </c>
      <c r="C122" s="41">
        <f t="shared" si="50"/>
        <v>0</v>
      </c>
      <c r="D122" s="41">
        <f t="shared" si="50"/>
        <v>0</v>
      </c>
      <c r="E122" s="41">
        <f t="shared" si="50"/>
        <v>0</v>
      </c>
      <c r="F122" s="41">
        <f t="shared" si="50"/>
        <v>0</v>
      </c>
      <c r="G122" s="41">
        <f t="shared" si="50"/>
        <v>0</v>
      </c>
      <c r="H122" s="41">
        <f t="shared" si="50"/>
        <v>0</v>
      </c>
      <c r="I122" s="41">
        <f t="shared" si="50"/>
        <v>0</v>
      </c>
      <c r="J122" s="41">
        <f t="shared" si="50"/>
        <v>0</v>
      </c>
      <c r="K122" s="41">
        <f t="shared" si="50"/>
        <v>0</v>
      </c>
    </row>
    <row r="123" spans="1:11" x14ac:dyDescent="0.4">
      <c r="A123" s="40" t="s">
        <v>106</v>
      </c>
      <c r="B123" s="41">
        <f t="shared" ref="B123:K123" si="51">B100</f>
        <v>0</v>
      </c>
      <c r="C123" s="41">
        <f t="shared" si="51"/>
        <v>0</v>
      </c>
      <c r="D123" s="41">
        <f t="shared" si="51"/>
        <v>-14970</v>
      </c>
      <c r="E123" s="41">
        <f t="shared" si="51"/>
        <v>-8777</v>
      </c>
      <c r="F123" s="41">
        <f t="shared" si="51"/>
        <v>-22899</v>
      </c>
      <c r="G123" s="41">
        <f t="shared" si="51"/>
        <v>0</v>
      </c>
      <c r="H123" s="41">
        <f t="shared" si="51"/>
        <v>0</v>
      </c>
      <c r="I123" s="41">
        <f t="shared" si="51"/>
        <v>0</v>
      </c>
      <c r="J123" s="41">
        <f t="shared" si="51"/>
        <v>0</v>
      </c>
      <c r="K123" s="41">
        <f t="shared" si="51"/>
        <v>0</v>
      </c>
    </row>
    <row r="124" spans="1:11" x14ac:dyDescent="0.4">
      <c r="A124" s="40" t="s">
        <v>107</v>
      </c>
      <c r="B124" s="41">
        <f t="shared" ref="B124:K124" si="52">B114</f>
        <v>-1067656</v>
      </c>
      <c r="C124" s="41">
        <f t="shared" si="52"/>
        <v>-58840</v>
      </c>
      <c r="D124" s="41">
        <f t="shared" si="52"/>
        <v>-32056</v>
      </c>
      <c r="E124" s="41">
        <f t="shared" si="52"/>
        <v>7260</v>
      </c>
      <c r="F124" s="41">
        <f t="shared" si="52"/>
        <v>-177175</v>
      </c>
      <c r="G124" s="41">
        <f t="shared" si="52"/>
        <v>0</v>
      </c>
      <c r="H124" s="41">
        <f t="shared" si="52"/>
        <v>0</v>
      </c>
      <c r="I124" s="41">
        <f t="shared" si="52"/>
        <v>0</v>
      </c>
      <c r="J124" s="41">
        <f t="shared" si="52"/>
        <v>0</v>
      </c>
      <c r="K124" s="41">
        <f t="shared" si="52"/>
        <v>0</v>
      </c>
    </row>
    <row r="125" spans="1:11" x14ac:dyDescent="0.4">
      <c r="A125" s="40" t="s">
        <v>108</v>
      </c>
      <c r="B125" s="41">
        <f t="shared" ref="B125:K125" si="53">B117</f>
        <v>1067656</v>
      </c>
      <c r="C125" s="41">
        <f t="shared" si="53"/>
        <v>56844</v>
      </c>
      <c r="D125" s="41">
        <f t="shared" si="53"/>
        <v>34672</v>
      </c>
      <c r="E125" s="41">
        <f t="shared" si="53"/>
        <v>-12299</v>
      </c>
      <c r="F125" s="41">
        <f t="shared" si="53"/>
        <v>192605</v>
      </c>
      <c r="G125" s="41">
        <f t="shared" si="53"/>
        <v>0</v>
      </c>
      <c r="H125" s="41">
        <f t="shared" si="53"/>
        <v>0</v>
      </c>
      <c r="I125" s="41">
        <f t="shared" si="53"/>
        <v>0</v>
      </c>
      <c r="J125" s="41">
        <f t="shared" si="53"/>
        <v>0</v>
      </c>
      <c r="K125" s="41">
        <f t="shared" si="53"/>
        <v>0</v>
      </c>
    </row>
    <row r="126" spans="1:11" x14ac:dyDescent="0.4">
      <c r="A126" s="42" t="s">
        <v>109</v>
      </c>
      <c r="B126" s="43">
        <f t="shared" ref="B126:K126" si="54">SUM(B121:B125)</f>
        <v>0</v>
      </c>
      <c r="C126" s="43">
        <f t="shared" si="54"/>
        <v>0</v>
      </c>
      <c r="D126" s="43">
        <f t="shared" si="54"/>
        <v>0</v>
      </c>
      <c r="E126" s="43">
        <f t="shared" si="54"/>
        <v>0</v>
      </c>
      <c r="F126" s="43">
        <f t="shared" si="54"/>
        <v>0</v>
      </c>
      <c r="G126" s="43">
        <f t="shared" si="54"/>
        <v>0</v>
      </c>
      <c r="H126" s="43">
        <f t="shared" si="54"/>
        <v>0</v>
      </c>
      <c r="I126" s="43">
        <f t="shared" si="54"/>
        <v>0</v>
      </c>
      <c r="J126" s="43">
        <f t="shared" si="54"/>
        <v>0</v>
      </c>
      <c r="K126" s="43">
        <f t="shared" si="54"/>
        <v>0</v>
      </c>
    </row>
    <row r="128" spans="1:11" x14ac:dyDescent="0.4">
      <c r="A128" s="16" t="s">
        <v>61</v>
      </c>
    </row>
    <row r="129" spans="1:11" x14ac:dyDescent="0.4">
      <c r="A129" t="s">
        <v>110</v>
      </c>
      <c r="B129" s="30"/>
      <c r="C129" s="30"/>
      <c r="D129" s="30"/>
    </row>
    <row r="130" spans="1:11" x14ac:dyDescent="0.4">
      <c r="A130" t="s">
        <v>111</v>
      </c>
      <c r="B130" s="30"/>
      <c r="C130" s="30"/>
      <c r="D130" s="30"/>
    </row>
    <row r="131" spans="1:11" x14ac:dyDescent="0.4">
      <c r="A131" t="s">
        <v>112</v>
      </c>
      <c r="B131" s="30"/>
      <c r="C131" s="30"/>
      <c r="D131" s="30"/>
    </row>
    <row r="132" spans="1:11" x14ac:dyDescent="0.4">
      <c r="A132" t="s">
        <v>111</v>
      </c>
      <c r="B132" s="30"/>
      <c r="C132" s="30"/>
      <c r="D132" s="30"/>
    </row>
    <row r="134" spans="1:11" ht="15" x14ac:dyDescent="0.4">
      <c r="A134" s="61" t="s">
        <v>115</v>
      </c>
      <c r="B134" s="58"/>
      <c r="C134" s="58"/>
      <c r="D134" s="58"/>
      <c r="E134" s="58"/>
      <c r="F134" s="58"/>
      <c r="G134" s="58"/>
      <c r="H134" s="58"/>
      <c r="I134" s="58"/>
      <c r="J134" s="58"/>
      <c r="K134" s="58"/>
    </row>
    <row r="135" spans="1:11" x14ac:dyDescent="0.4">
      <c r="A135" s="5" t="s">
        <v>4</v>
      </c>
      <c r="B135" s="47">
        <f t="shared" ref="B135:K135" si="55">B7</f>
        <v>2021</v>
      </c>
      <c r="C135" s="47">
        <f t="shared" si="55"/>
        <v>2022</v>
      </c>
      <c r="D135" s="47">
        <f t="shared" si="55"/>
        <v>2023</v>
      </c>
      <c r="E135" s="47">
        <f t="shared" si="55"/>
        <v>2024</v>
      </c>
      <c r="F135" s="47">
        <f t="shared" si="55"/>
        <v>2025</v>
      </c>
      <c r="G135" s="47">
        <f t="shared" si="55"/>
        <v>2026</v>
      </c>
      <c r="H135" s="47">
        <f t="shared" si="55"/>
        <v>2027</v>
      </c>
      <c r="I135" s="47">
        <f t="shared" si="55"/>
        <v>2028</v>
      </c>
      <c r="J135" s="47">
        <f t="shared" si="55"/>
        <v>2029</v>
      </c>
      <c r="K135" s="47">
        <f t="shared" si="55"/>
        <v>2030</v>
      </c>
    </row>
    <row r="137" spans="1:11" x14ac:dyDescent="0.4">
      <c r="A137" s="48" t="s">
        <v>116</v>
      </c>
    </row>
    <row r="138" spans="1:11" x14ac:dyDescent="0.4">
      <c r="A138" t="s">
        <v>117</v>
      </c>
      <c r="B138" s="49">
        <v>0</v>
      </c>
      <c r="C138" s="49">
        <v>1932344</v>
      </c>
      <c r="D138" s="49">
        <v>1684727</v>
      </c>
      <c r="E138" s="49">
        <v>1376978</v>
      </c>
      <c r="F138" s="49">
        <v>1144214</v>
      </c>
      <c r="G138" s="49"/>
      <c r="H138" s="49"/>
      <c r="I138" s="49"/>
      <c r="J138" s="49"/>
      <c r="K138" s="49"/>
    </row>
    <row r="139" spans="1:11" x14ac:dyDescent="0.4">
      <c r="A139" t="s">
        <v>118</v>
      </c>
      <c r="B139" s="49">
        <v>3000000</v>
      </c>
      <c r="C139" s="49">
        <v>0</v>
      </c>
      <c r="D139" s="49">
        <v>0</v>
      </c>
      <c r="E139" s="49">
        <v>0</v>
      </c>
      <c r="F139" s="49">
        <v>0</v>
      </c>
      <c r="G139" s="49"/>
      <c r="H139" s="49"/>
      <c r="I139" s="49"/>
      <c r="J139" s="49"/>
      <c r="K139" s="49"/>
    </row>
    <row r="140" spans="1:11" x14ac:dyDescent="0.4">
      <c r="A140" t="s">
        <v>119</v>
      </c>
      <c r="B140" s="49">
        <v>-1067656</v>
      </c>
      <c r="C140" s="49">
        <v>-56844</v>
      </c>
      <c r="D140" s="49">
        <v>-34672</v>
      </c>
      <c r="E140" s="49">
        <v>12299</v>
      </c>
      <c r="F140" s="49">
        <v>-192605</v>
      </c>
      <c r="G140" s="49"/>
      <c r="H140" s="49"/>
      <c r="I140" s="49"/>
      <c r="J140" s="49"/>
      <c r="K140" s="49"/>
    </row>
    <row r="141" spans="1:11" x14ac:dyDescent="0.4">
      <c r="A141" t="s">
        <v>120</v>
      </c>
      <c r="B141" s="49">
        <v>0</v>
      </c>
      <c r="C141" s="49">
        <v>0</v>
      </c>
      <c r="D141" s="49">
        <v>0</v>
      </c>
      <c r="E141" s="49">
        <v>0</v>
      </c>
      <c r="F141" s="49">
        <v>0</v>
      </c>
      <c r="G141" s="49"/>
      <c r="H141" s="49"/>
      <c r="I141" s="49"/>
      <c r="J141" s="49"/>
      <c r="K141" s="49"/>
    </row>
    <row r="142" spans="1:11" x14ac:dyDescent="0.4">
      <c r="A142" t="s">
        <v>121</v>
      </c>
      <c r="B142" s="49">
        <v>0</v>
      </c>
      <c r="C142" s="49">
        <v>-190773</v>
      </c>
      <c r="D142" s="49">
        <v>-273077</v>
      </c>
      <c r="E142" s="49">
        <v>-245063</v>
      </c>
      <c r="F142" s="49">
        <v>-255786</v>
      </c>
      <c r="G142" s="49"/>
      <c r="H142" s="49"/>
      <c r="I142" s="49"/>
      <c r="J142" s="49"/>
      <c r="K142" s="49"/>
    </row>
    <row r="143" spans="1:11" x14ac:dyDescent="0.4">
      <c r="A143" t="s">
        <v>122</v>
      </c>
      <c r="B143" s="49">
        <v>1932344</v>
      </c>
      <c r="C143" s="49">
        <v>1684727</v>
      </c>
      <c r="D143" s="49">
        <v>1376978</v>
      </c>
      <c r="E143" s="49">
        <v>1144214</v>
      </c>
      <c r="F143" s="49">
        <v>695823</v>
      </c>
      <c r="G143" s="49"/>
      <c r="H143" s="49"/>
      <c r="I143" s="49"/>
      <c r="J143" s="49"/>
      <c r="K143" s="49"/>
    </row>
    <row r="145" spans="1:11" x14ac:dyDescent="0.4">
      <c r="A145" s="48" t="s">
        <v>123</v>
      </c>
    </row>
    <row r="146" spans="1:11" x14ac:dyDescent="0.4">
      <c r="A146" t="s">
        <v>124</v>
      </c>
      <c r="B146" s="50">
        <f t="shared" ref="B146:K146" si="56">B10</f>
        <v>0</v>
      </c>
      <c r="C146" s="50">
        <f t="shared" si="56"/>
        <v>1932344</v>
      </c>
      <c r="D146" s="50">
        <f t="shared" si="56"/>
        <v>1684727</v>
      </c>
      <c r="E146" s="50">
        <f t="shared" si="56"/>
        <v>1376978</v>
      </c>
      <c r="F146" s="50">
        <f t="shared" si="56"/>
        <v>1144214</v>
      </c>
      <c r="G146" s="50">
        <f t="shared" si="56"/>
        <v>695823</v>
      </c>
      <c r="H146" s="50">
        <f t="shared" si="56"/>
        <v>695823</v>
      </c>
      <c r="I146" s="50">
        <f t="shared" si="56"/>
        <v>695823</v>
      </c>
      <c r="J146" s="50">
        <f t="shared" si="56"/>
        <v>695823</v>
      </c>
      <c r="K146" s="50">
        <f t="shared" si="56"/>
        <v>695823</v>
      </c>
    </row>
    <row r="147" spans="1:11" x14ac:dyDescent="0.4">
      <c r="A147" t="s">
        <v>125</v>
      </c>
      <c r="B147" s="50">
        <f t="shared" ref="B147:K147" si="57">B13</f>
        <v>3000000</v>
      </c>
      <c r="C147" s="50">
        <f t="shared" si="57"/>
        <v>0</v>
      </c>
      <c r="D147" s="50">
        <f t="shared" si="57"/>
        <v>0</v>
      </c>
      <c r="E147" s="50">
        <f t="shared" si="57"/>
        <v>0</v>
      </c>
      <c r="F147" s="50">
        <f t="shared" si="57"/>
        <v>0</v>
      </c>
      <c r="G147" s="50">
        <f t="shared" si="57"/>
        <v>0</v>
      </c>
      <c r="H147" s="50">
        <f t="shared" si="57"/>
        <v>0</v>
      </c>
      <c r="I147" s="50">
        <f t="shared" si="57"/>
        <v>0</v>
      </c>
      <c r="J147" s="50">
        <f t="shared" si="57"/>
        <v>0</v>
      </c>
      <c r="K147" s="50">
        <f t="shared" si="57"/>
        <v>0</v>
      </c>
    </row>
    <row r="148" spans="1:11" x14ac:dyDescent="0.4">
      <c r="A148" t="s">
        <v>126</v>
      </c>
      <c r="B148" s="50">
        <f t="shared" ref="B148:K148" si="58">B27-B41+B39</f>
        <v>1932344</v>
      </c>
      <c r="C148" s="50">
        <f t="shared" si="58"/>
        <v>-56844</v>
      </c>
      <c r="D148" s="50">
        <f t="shared" si="58"/>
        <v>-34672</v>
      </c>
      <c r="E148" s="50">
        <f t="shared" si="58"/>
        <v>12299</v>
      </c>
      <c r="F148" s="50">
        <f t="shared" si="58"/>
        <v>-192605</v>
      </c>
      <c r="G148" s="50">
        <f t="shared" si="58"/>
        <v>0</v>
      </c>
      <c r="H148" s="50">
        <f t="shared" si="58"/>
        <v>0</v>
      </c>
      <c r="I148" s="50">
        <f t="shared" si="58"/>
        <v>0</v>
      </c>
      <c r="J148" s="50">
        <f t="shared" si="58"/>
        <v>0</v>
      </c>
      <c r="K148" s="50">
        <f t="shared" si="58"/>
        <v>0</v>
      </c>
    </row>
    <row r="149" spans="1:11" x14ac:dyDescent="0.4">
      <c r="A149" t="s">
        <v>127</v>
      </c>
      <c r="B149" s="50">
        <f t="shared" ref="B149:K149" si="59">B39</f>
        <v>0</v>
      </c>
      <c r="C149" s="50">
        <f t="shared" si="59"/>
        <v>190773</v>
      </c>
      <c r="D149" s="50">
        <f t="shared" si="59"/>
        <v>273077</v>
      </c>
      <c r="E149" s="50">
        <f t="shared" si="59"/>
        <v>245063</v>
      </c>
      <c r="F149" s="50">
        <f t="shared" si="59"/>
        <v>255786</v>
      </c>
      <c r="G149" s="50">
        <f t="shared" si="59"/>
        <v>0</v>
      </c>
      <c r="H149" s="50">
        <f t="shared" si="59"/>
        <v>0</v>
      </c>
      <c r="I149" s="50">
        <f t="shared" si="59"/>
        <v>0</v>
      </c>
      <c r="J149" s="50">
        <f t="shared" si="59"/>
        <v>0</v>
      </c>
      <c r="K149" s="50">
        <f t="shared" si="59"/>
        <v>0</v>
      </c>
    </row>
    <row r="150" spans="1:11" x14ac:dyDescent="0.4">
      <c r="A150" t="s">
        <v>128</v>
      </c>
      <c r="B150" s="50">
        <f t="shared" ref="B150:K150" si="60">B44</f>
        <v>1932344</v>
      </c>
      <c r="C150" s="50">
        <f t="shared" si="60"/>
        <v>1684727</v>
      </c>
      <c r="D150" s="50">
        <f t="shared" si="60"/>
        <v>1376978</v>
      </c>
      <c r="E150" s="50">
        <f t="shared" si="60"/>
        <v>1144214</v>
      </c>
      <c r="F150" s="50">
        <f t="shared" si="60"/>
        <v>695823</v>
      </c>
      <c r="G150" s="50">
        <f t="shared" si="60"/>
        <v>695823</v>
      </c>
      <c r="H150" s="50">
        <f t="shared" si="60"/>
        <v>695823</v>
      </c>
      <c r="I150" s="50">
        <f t="shared" si="60"/>
        <v>695823</v>
      </c>
      <c r="J150" s="50">
        <f t="shared" si="60"/>
        <v>695823</v>
      </c>
      <c r="K150" s="50">
        <f t="shared" si="60"/>
        <v>695823</v>
      </c>
    </row>
    <row r="152" spans="1:11" x14ac:dyDescent="0.4">
      <c r="A152" s="48" t="s">
        <v>129</v>
      </c>
    </row>
    <row r="153" spans="1:11" x14ac:dyDescent="0.4">
      <c r="A153" t="s">
        <v>130</v>
      </c>
      <c r="B153" s="51">
        <f t="shared" ref="B153:K153" si="61">IF(B138="","-",B138-B146)</f>
        <v>0</v>
      </c>
      <c r="C153" s="51">
        <f t="shared" si="61"/>
        <v>0</v>
      </c>
      <c r="D153" s="51">
        <f t="shared" si="61"/>
        <v>0</v>
      </c>
      <c r="E153" s="51">
        <f t="shared" si="61"/>
        <v>0</v>
      </c>
      <c r="F153" s="51">
        <f t="shared" si="61"/>
        <v>0</v>
      </c>
      <c r="G153" s="51" t="str">
        <f t="shared" si="61"/>
        <v>-</v>
      </c>
      <c r="H153" s="51" t="str">
        <f t="shared" si="61"/>
        <v>-</v>
      </c>
      <c r="I153" s="51" t="str">
        <f t="shared" si="61"/>
        <v>-</v>
      </c>
      <c r="J153" s="51" t="str">
        <f t="shared" si="61"/>
        <v>-</v>
      </c>
      <c r="K153" s="51" t="str">
        <f t="shared" si="61"/>
        <v>-</v>
      </c>
    </row>
    <row r="154" spans="1:11" x14ac:dyDescent="0.4">
      <c r="A154" t="s">
        <v>131</v>
      </c>
      <c r="B154" s="51">
        <f t="shared" ref="B154:K154" si="62">IF(B139="","-",B139-B147)</f>
        <v>0</v>
      </c>
      <c r="C154" s="51">
        <f t="shared" si="62"/>
        <v>0</v>
      </c>
      <c r="D154" s="51">
        <f t="shared" si="62"/>
        <v>0</v>
      </c>
      <c r="E154" s="51">
        <f t="shared" si="62"/>
        <v>0</v>
      </c>
      <c r="F154" s="51">
        <f t="shared" si="62"/>
        <v>0</v>
      </c>
      <c r="G154" s="51" t="str">
        <f t="shared" si="62"/>
        <v>-</v>
      </c>
      <c r="H154" s="51" t="str">
        <f t="shared" si="62"/>
        <v>-</v>
      </c>
      <c r="I154" s="51" t="str">
        <f t="shared" si="62"/>
        <v>-</v>
      </c>
      <c r="J154" s="51" t="str">
        <f t="shared" si="62"/>
        <v>-</v>
      </c>
      <c r="K154" s="51" t="str">
        <f t="shared" si="62"/>
        <v>-</v>
      </c>
    </row>
    <row r="155" spans="1:11" x14ac:dyDescent="0.4">
      <c r="A155" t="s">
        <v>132</v>
      </c>
      <c r="B155" s="51">
        <f>IF(B140="","-",B140-B148)</f>
        <v>-3000000</v>
      </c>
      <c r="C155" s="51">
        <f t="shared" ref="C155:K155" si="63">IF(C140="","-",C140-C148)</f>
        <v>0</v>
      </c>
      <c r="D155" s="51">
        <f t="shared" si="63"/>
        <v>0</v>
      </c>
      <c r="E155" s="51">
        <f t="shared" si="63"/>
        <v>0</v>
      </c>
      <c r="F155" s="51">
        <f t="shared" si="63"/>
        <v>0</v>
      </c>
      <c r="G155" s="51" t="str">
        <f t="shared" si="63"/>
        <v>-</v>
      </c>
      <c r="H155" s="51" t="str">
        <f t="shared" si="63"/>
        <v>-</v>
      </c>
      <c r="I155" s="51" t="str">
        <f t="shared" si="63"/>
        <v>-</v>
      </c>
      <c r="J155" s="51" t="str">
        <f t="shared" si="63"/>
        <v>-</v>
      </c>
      <c r="K155" s="51" t="str">
        <f t="shared" si="63"/>
        <v>-</v>
      </c>
    </row>
    <row r="156" spans="1:11" x14ac:dyDescent="0.4">
      <c r="A156" t="s">
        <v>133</v>
      </c>
      <c r="B156" s="51">
        <f>IF(B142="","-",ABS(B142)-B149)</f>
        <v>0</v>
      </c>
      <c r="C156" s="51">
        <f>IF(C142="","-",ABS(C142)-C149)</f>
        <v>0</v>
      </c>
      <c r="D156" s="51">
        <f>IF(D142="","-",ABS(D142)-D149)</f>
        <v>0</v>
      </c>
      <c r="E156" s="51">
        <f>IF(E142="","-",ABS(E142)-E149)</f>
        <v>0</v>
      </c>
      <c r="F156" s="51">
        <f t="shared" ref="F156:K156" si="64">IF(F142="","-",ABS(F142)-F149)</f>
        <v>0</v>
      </c>
      <c r="G156" s="51" t="str">
        <f t="shared" si="64"/>
        <v>-</v>
      </c>
      <c r="H156" s="51" t="str">
        <f t="shared" si="64"/>
        <v>-</v>
      </c>
      <c r="I156" s="51" t="str">
        <f t="shared" si="64"/>
        <v>-</v>
      </c>
      <c r="J156" s="51" t="str">
        <f t="shared" si="64"/>
        <v>-</v>
      </c>
      <c r="K156" s="51" t="str">
        <f t="shared" si="64"/>
        <v>-</v>
      </c>
    </row>
    <row r="158" spans="1:11" x14ac:dyDescent="0.4">
      <c r="A158" s="52" t="s">
        <v>134</v>
      </c>
      <c r="B158" s="52"/>
      <c r="C158" s="52"/>
      <c r="D158" s="52"/>
      <c r="E158" s="52"/>
      <c r="F158" s="52"/>
      <c r="G158" s="52"/>
      <c r="H158" s="52"/>
      <c r="I158" s="52"/>
      <c r="J158" s="52"/>
      <c r="K158" s="52"/>
    </row>
    <row r="159" spans="1:11" x14ac:dyDescent="0.4">
      <c r="A159" t="s">
        <v>135</v>
      </c>
      <c r="B159" s="51">
        <f t="shared" ref="B159:K159" si="65">B143</f>
        <v>1932344</v>
      </c>
      <c r="C159" s="51">
        <f t="shared" si="65"/>
        <v>1684727</v>
      </c>
      <c r="D159" s="51">
        <f t="shared" si="65"/>
        <v>1376978</v>
      </c>
      <c r="E159" s="51">
        <f t="shared" si="65"/>
        <v>1144214</v>
      </c>
      <c r="F159" s="51">
        <f t="shared" si="65"/>
        <v>695823</v>
      </c>
      <c r="G159" s="51">
        <f t="shared" si="65"/>
        <v>0</v>
      </c>
      <c r="H159" s="51">
        <f t="shared" si="65"/>
        <v>0</v>
      </c>
      <c r="I159" s="51">
        <f t="shared" si="65"/>
        <v>0</v>
      </c>
      <c r="J159" s="51">
        <f t="shared" si="65"/>
        <v>0</v>
      </c>
      <c r="K159" s="51">
        <f t="shared" si="65"/>
        <v>0</v>
      </c>
    </row>
    <row r="160" spans="1:11" x14ac:dyDescent="0.4">
      <c r="A160" t="s">
        <v>136</v>
      </c>
      <c r="B160" s="51">
        <f t="shared" ref="B160:K160" si="66">B44</f>
        <v>1932344</v>
      </c>
      <c r="C160" s="51">
        <f t="shared" si="66"/>
        <v>1684727</v>
      </c>
      <c r="D160" s="51">
        <f t="shared" si="66"/>
        <v>1376978</v>
      </c>
      <c r="E160" s="51">
        <f t="shared" si="66"/>
        <v>1144214</v>
      </c>
      <c r="F160" s="51">
        <f t="shared" si="66"/>
        <v>695823</v>
      </c>
      <c r="G160" s="51">
        <f t="shared" si="66"/>
        <v>695823</v>
      </c>
      <c r="H160" s="51">
        <f t="shared" si="66"/>
        <v>695823</v>
      </c>
      <c r="I160" s="51">
        <f t="shared" si="66"/>
        <v>695823</v>
      </c>
      <c r="J160" s="51">
        <f t="shared" si="66"/>
        <v>695823</v>
      </c>
      <c r="K160" s="51">
        <f t="shared" si="66"/>
        <v>695823</v>
      </c>
    </row>
    <row r="161" spans="1:11" x14ac:dyDescent="0.4">
      <c r="A161" s="1" t="s">
        <v>137</v>
      </c>
      <c r="B161" s="53">
        <f t="shared" ref="B161:K161" si="67">IF(B143="","-",B159-B160)</f>
        <v>0</v>
      </c>
      <c r="C161" s="53">
        <f t="shared" si="67"/>
        <v>0</v>
      </c>
      <c r="D161" s="53">
        <f t="shared" si="67"/>
        <v>0</v>
      </c>
      <c r="E161" s="53">
        <f t="shared" si="67"/>
        <v>0</v>
      </c>
      <c r="F161" s="53">
        <f t="shared" si="67"/>
        <v>0</v>
      </c>
      <c r="G161" s="53" t="str">
        <f t="shared" si="67"/>
        <v>-</v>
      </c>
      <c r="H161" s="53" t="str">
        <f t="shared" si="67"/>
        <v>-</v>
      </c>
      <c r="I161" s="53" t="str">
        <f t="shared" si="67"/>
        <v>-</v>
      </c>
      <c r="J161" s="53" t="str">
        <f t="shared" si="67"/>
        <v>-</v>
      </c>
      <c r="K161" s="53" t="str">
        <f t="shared" si="67"/>
        <v>-</v>
      </c>
    </row>
    <row r="163" spans="1:11" x14ac:dyDescent="0.4">
      <c r="A163" s="48" t="s">
        <v>138</v>
      </c>
    </row>
    <row r="164" spans="1:11" x14ac:dyDescent="0.4">
      <c r="A164" t="s">
        <v>139</v>
      </c>
      <c r="B164" s="49"/>
      <c r="C164" s="49"/>
      <c r="D164" s="49"/>
      <c r="E164" s="49"/>
      <c r="F164" s="49"/>
      <c r="G164" s="49"/>
      <c r="H164" s="49"/>
      <c r="I164" s="49"/>
      <c r="J164" s="49"/>
      <c r="K164" s="49"/>
    </row>
    <row r="165" spans="1:11" x14ac:dyDescent="0.4">
      <c r="A165" t="s">
        <v>140</v>
      </c>
      <c r="B165" s="49"/>
      <c r="C165" s="49"/>
      <c r="D165" s="49"/>
      <c r="E165" s="49"/>
      <c r="F165" s="49"/>
      <c r="G165" s="49"/>
      <c r="H165" s="49"/>
      <c r="I165" s="49"/>
      <c r="J165" s="49"/>
      <c r="K165" s="49"/>
    </row>
    <row r="166" spans="1:11" x14ac:dyDescent="0.4">
      <c r="A166" t="s">
        <v>141</v>
      </c>
      <c r="B166" s="49"/>
      <c r="C166" s="49"/>
      <c r="D166" s="49"/>
      <c r="E166" s="49"/>
      <c r="F166" s="49"/>
      <c r="G166" s="49"/>
      <c r="H166" s="49"/>
      <c r="I166" s="49"/>
      <c r="J166" s="49"/>
      <c r="K166" s="49"/>
    </row>
    <row r="167" spans="1:11" x14ac:dyDescent="0.4">
      <c r="A167" t="s">
        <v>142</v>
      </c>
      <c r="B167" s="49"/>
      <c r="C167" s="49"/>
      <c r="D167" s="49"/>
      <c r="E167" s="49"/>
      <c r="F167" s="49"/>
      <c r="G167" s="49"/>
      <c r="H167" s="49"/>
      <c r="I167" s="49"/>
      <c r="J167" s="49"/>
      <c r="K167" s="49"/>
    </row>
    <row r="168" spans="1:11" x14ac:dyDescent="0.4">
      <c r="A168" s="1" t="s">
        <v>143</v>
      </c>
      <c r="B168" s="54">
        <f t="shared" ref="B168:K168" si="68">SUM(B164:B167)</f>
        <v>0</v>
      </c>
      <c r="C168" s="54">
        <f t="shared" si="68"/>
        <v>0</v>
      </c>
      <c r="D168" s="54">
        <f t="shared" si="68"/>
        <v>0</v>
      </c>
      <c r="E168" s="54">
        <f t="shared" si="68"/>
        <v>0</v>
      </c>
      <c r="F168" s="54">
        <f t="shared" si="68"/>
        <v>0</v>
      </c>
      <c r="G168" s="54">
        <f t="shared" si="68"/>
        <v>0</v>
      </c>
      <c r="H168" s="54">
        <f t="shared" si="68"/>
        <v>0</v>
      </c>
      <c r="I168" s="54">
        <f t="shared" si="68"/>
        <v>0</v>
      </c>
      <c r="J168" s="54">
        <f t="shared" si="68"/>
        <v>0</v>
      </c>
      <c r="K168" s="54">
        <f t="shared" si="68"/>
        <v>0</v>
      </c>
    </row>
    <row r="170" spans="1:11" x14ac:dyDescent="0.4">
      <c r="A170" s="1" t="s">
        <v>144</v>
      </c>
      <c r="B170" s="55">
        <f t="shared" ref="B170:K170" si="69">IF(B161="-","-",B161-B168)</f>
        <v>0</v>
      </c>
      <c r="C170" s="55">
        <f t="shared" si="69"/>
        <v>0</v>
      </c>
      <c r="D170" s="55">
        <f t="shared" si="69"/>
        <v>0</v>
      </c>
      <c r="E170" s="55">
        <f t="shared" si="69"/>
        <v>0</v>
      </c>
      <c r="F170" s="55">
        <f t="shared" si="69"/>
        <v>0</v>
      </c>
      <c r="G170" s="55" t="str">
        <f t="shared" si="69"/>
        <v>-</v>
      </c>
      <c r="H170" s="55" t="str">
        <f t="shared" si="69"/>
        <v>-</v>
      </c>
      <c r="I170" s="55" t="str">
        <f t="shared" si="69"/>
        <v>-</v>
      </c>
      <c r="J170" s="55" t="str">
        <f t="shared" si="69"/>
        <v>-</v>
      </c>
      <c r="K170" s="55" t="str">
        <f t="shared" si="69"/>
        <v>-</v>
      </c>
    </row>
    <row r="172" spans="1:11" x14ac:dyDescent="0.4">
      <c r="A172" s="4" t="s">
        <v>145</v>
      </c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 x14ac:dyDescent="0.4">
      <c r="A173" s="1" t="s">
        <v>146</v>
      </c>
      <c r="B173" s="1" t="str">
        <f t="shared" ref="B173:K173" si="70">IF(B143="","⚠️ INCOMPLETE","✓ ENTERED")</f>
        <v>✓ ENTERED</v>
      </c>
      <c r="C173" s="1" t="str">
        <f t="shared" si="70"/>
        <v>✓ ENTERED</v>
      </c>
      <c r="D173" s="1" t="str">
        <f t="shared" si="70"/>
        <v>✓ ENTERED</v>
      </c>
      <c r="E173" s="1" t="str">
        <f>IF(E143="","⚠️ INCOMPLETE","✓ ENTERED")</f>
        <v>✓ ENTERED</v>
      </c>
      <c r="F173" s="1" t="str">
        <f t="shared" si="70"/>
        <v>✓ ENTERED</v>
      </c>
      <c r="G173" s="1" t="str">
        <f t="shared" si="70"/>
        <v>⚠️ INCOMPLETE</v>
      </c>
      <c r="H173" s="1" t="str">
        <f t="shared" si="70"/>
        <v>⚠️ INCOMPLETE</v>
      </c>
      <c r="I173" s="1" t="str">
        <f t="shared" si="70"/>
        <v>⚠️ INCOMPLETE</v>
      </c>
      <c r="J173" s="1" t="str">
        <f t="shared" si="70"/>
        <v>⚠️ INCOMPLETE</v>
      </c>
      <c r="K173" s="1" t="str">
        <f t="shared" si="70"/>
        <v>⚠️ INCOMPLETE</v>
      </c>
    </row>
    <row r="174" spans="1:11" x14ac:dyDescent="0.4">
      <c r="A174" s="1" t="s">
        <v>147</v>
      </c>
      <c r="B174" s="1" t="str">
        <f t="shared" ref="B174:K174" si="71">IF(B143="","-",IF(ABS(B170)&lt;=1,"✓ RECONCILED",IF(B170="-","-","⚠️ VARIANCE")))</f>
        <v>✓ RECONCILED</v>
      </c>
      <c r="C174" s="1" t="str">
        <f t="shared" si="71"/>
        <v>✓ RECONCILED</v>
      </c>
      <c r="D174" s="1" t="str">
        <f t="shared" si="71"/>
        <v>✓ RECONCILED</v>
      </c>
      <c r="E174" s="1" t="str">
        <f t="shared" si="71"/>
        <v>✓ RECONCILED</v>
      </c>
      <c r="F174" s="1" t="str">
        <f t="shared" si="71"/>
        <v>✓ RECONCILED</v>
      </c>
      <c r="G174" s="1" t="str">
        <f t="shared" si="71"/>
        <v>-</v>
      </c>
      <c r="H174" s="1" t="str">
        <f t="shared" si="71"/>
        <v>-</v>
      </c>
      <c r="I174" s="1" t="str">
        <f t="shared" si="71"/>
        <v>-</v>
      </c>
      <c r="J174" s="1" t="str">
        <f t="shared" si="71"/>
        <v>-</v>
      </c>
      <c r="K174" s="1" t="str">
        <f t="shared" si="71"/>
        <v>-</v>
      </c>
    </row>
  </sheetData>
  <mergeCells count="5">
    <mergeCell ref="C6:F6"/>
    <mergeCell ref="A74:K74"/>
    <mergeCell ref="A81:K81"/>
    <mergeCell ref="A119:K119"/>
    <mergeCell ref="A134:K13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 Bell Investors, LLC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Tony Patch</cp:lastModifiedBy>
  <dcterms:created xsi:type="dcterms:W3CDTF">2026-05-22T21:55:22Z</dcterms:created>
  <dcterms:modified xsi:type="dcterms:W3CDTF">2026-07-09T23:38:35Z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2026-05-22T00:00:00Z</vt:filetime>
  </property>
  <property fmtid="{D5CDD505-2E9C-101B-9397-08002B2CF9AE}" pid="3" name="Creator">
    <vt:lpwstr>Aspose Pty Ltd.</vt:lpwstr>
  </property>
  <property fmtid="{D5CDD505-2E9C-101B-9397-08002B2CF9AE}" pid="4" name="LastSaved">
    <vt:filetime>2026-05-22T00:00:00Z</vt:filetime>
  </property>
  <property fmtid="{D5CDD505-2E9C-101B-9397-08002B2CF9AE}" pid="5" name="Producer">
    <vt:lpwstr>Aspose.PDF for .NET 24.11.0</vt:lpwstr>
  </property>
</Properties>
</file>